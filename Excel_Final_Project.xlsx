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Project Instruction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Visualizations" sheetId="5" state="visible" r:id="rId5"/>
    <sheet xmlns:r="http://schemas.openxmlformats.org/officeDocument/2006/relationships" name="What-If Analysis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Formula Lab" sheetId="8" state="visible" r:id="rId8"/>
    <sheet xmlns:r="http://schemas.openxmlformats.org/officeDocument/2006/relationships" name="Submission Checklist" sheetId="9" state="visible" r:id="rId9"/>
    <sheet xmlns:r="http://schemas.openxmlformats.org/officeDocument/2006/relationships" name="Pivot-Style Summaries" sheetId="10" state="visible" r:id="rId10"/>
    <sheet xmlns:r="http://schemas.openxmlformats.org/officeDocument/2006/relationships" name="Final Report" sheetId="11" state="visible" r:id="rId11"/>
  </sheets>
  <definedNames>
    <definedName name="_xlnm._FilterDatabase" localSheetId="2" hidden="1">'Raw Data'!$A$1:$S$251</definedName>
    <definedName name="_xlnm._FilterDatabase" localSheetId="3" hidden="1">'Analysis'!$A$43:$F$93</definedName>
  </definedNames>
  <calcPr calcId="124519" calcMode="auto" fullCalcOnLoad="1" iterate="1" iterateCount="100" iterateDelta="0.001" forceFullCalc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&quot;$&quot;#,##0.00"/>
    <numFmt numFmtId="166" formatCode="dd-mmm-yyyy"/>
    <numFmt numFmtId="167" formatCode="dd-mmm-yyyy hh:mm"/>
    <numFmt numFmtId="168" formatCode="0.0%"/>
    <numFmt numFmtId="169" formatCode="$#,##0.00"/>
    <numFmt numFmtId="170" formatCode="mmm yyyy"/>
    <numFmt numFmtId="171" formatCode="0.000"/>
    <numFmt numFmtId="172" formatCode="yyyy-mm-dd h:mm:ss"/>
  </numFmts>
  <fonts count="25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theme="1"/>
      <sz val="11"/>
    </font>
    <font>
      <name val="Aptos Display"/>
      <b val="1"/>
      <color rgb="00FFFFFF"/>
      <sz val="18"/>
    </font>
    <font>
      <b val="1"/>
      <color rgb="001F4E78"/>
      <sz val="13"/>
    </font>
    <font>
      <b val="1"/>
    </font>
    <font>
      <b val="1"/>
      <color rgb="00FFFFFF"/>
    </font>
    <font>
      <i val="1"/>
      <color rgb="00666666"/>
      <sz val="11"/>
    </font>
    <font>
      <b val="1"/>
      <color rgb="00FFFFFF"/>
      <sz val="10"/>
    </font>
    <font>
      <b val="1"/>
      <color rgb="001F4E78"/>
      <sz val="18"/>
    </font>
    <font>
      <b val="1"/>
      <color rgb="001F4E78"/>
      <sz val="14"/>
    </font>
    <font>
      <i val="1"/>
      <color rgb="00666666"/>
    </font>
    <font>
      <name val="Aptos"/>
      <sz val="10"/>
    </font>
    <font>
      <b val="1"/>
      <color rgb="00FFFFFF"/>
      <sz val="16"/>
    </font>
    <font>
      <name val="Aptos Display"/>
      <b val="1"/>
      <color rgb="00FFFFFF"/>
      <sz val="10"/>
    </font>
    <font>
      <b val="1"/>
      <color rgb="00243447"/>
    </font>
    <font>
      <b val="1"/>
      <color rgb="0017365D"/>
      <sz val="12"/>
    </font>
    <font>
      <b val="1"/>
      <color rgb="0017365D"/>
      <sz val="18"/>
    </font>
    <font>
      <b val="1"/>
      <color rgb="00FFFFFF"/>
      <sz val="12"/>
    </font>
    <font>
      <name val="Aptos Display"/>
      <b val="1"/>
      <color rgb="00FFFFFF"/>
      <sz val="15"/>
    </font>
    <font>
      <name val="Aptos Display"/>
      <b val="1"/>
      <color rgb="00FFFFFF"/>
      <sz val="13"/>
    </font>
    <font>
      <b val="1"/>
      <color rgb="0017365D"/>
    </font>
    <font>
      <b val="1"/>
      <color rgb="00FFFFFF"/>
      <sz val="15"/>
    </font>
  </fonts>
  <fills count="12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F6F9FC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CE4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1" applyAlignment="1" pivotButton="0" quotePrefix="0" xfId="0">
      <alignment vertical="bottom"/>
    </xf>
    <xf numFmtId="0" fontId="0" fillId="0" borderId="0" pivotButton="0" quotePrefix="0" xfId="0"/>
    <xf numFmtId="0" fontId="5" fillId="3" borderId="0" applyAlignment="1" pivotButton="0" quotePrefix="0" xfId="0">
      <alignment vertical="center"/>
    </xf>
    <xf numFmtId="0" fontId="14" fillId="0" borderId="0" pivotButton="0" quotePrefix="0" xfId="0"/>
    <xf numFmtId="0" fontId="14" fillId="3" borderId="0" applyAlignment="1" pivotButton="0" quotePrefix="0" xfId="0">
      <alignment horizontal="center"/>
    </xf>
    <xf numFmtId="165" fontId="14" fillId="4" borderId="0" applyAlignment="1" pivotButton="0" quotePrefix="0" xfId="0">
      <alignment horizontal="center"/>
    </xf>
    <xf numFmtId="3" fontId="14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6" fontId="3" fillId="0" borderId="0" pivotButton="0" quotePrefix="0" xfId="0"/>
    <xf numFmtId="165" fontId="3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5" fontId="0" fillId="4" borderId="0" pivotButton="0" quotePrefix="0" xfId="0"/>
    <xf numFmtId="3" fontId="0" fillId="4" borderId="0" pivotButton="0" quotePrefix="0" xfId="0"/>
    <xf numFmtId="0" fontId="14" fillId="3" borderId="0" applyAlignment="1" pivotButton="0" quotePrefix="0" xfId="0">
      <alignment vertical="center" wrapText="1"/>
    </xf>
    <xf numFmtId="168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5" fontId="14" fillId="4" borderId="0" applyAlignment="1" pivotButton="0" quotePrefix="0" xfId="0">
      <alignment horizontal="center"/>
    </xf>
    <xf numFmtId="0" fontId="1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6" fontId="3" fillId="0" borderId="0" pivotButton="0" quotePrefix="0" xfId="0"/>
    <xf numFmtId="165" fontId="3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5" fillId="5" borderId="0" applyAlignment="1" pivotButton="0" quotePrefix="0" xfId="0">
      <alignment vertical="center"/>
    </xf>
    <xf numFmtId="0" fontId="9" fillId="0" borderId="0" pivotButton="0" quotePrefix="0" xfId="0"/>
    <xf numFmtId="0" fontId="10" fillId="5" borderId="0" applyAlignment="1" pivotButton="0" quotePrefix="0" xfId="0">
      <alignment horizontal="center" vertical="center"/>
    </xf>
    <xf numFmtId="169" fontId="19" fillId="4" borderId="0" applyAlignment="1" pivotButton="0" quotePrefix="0" xfId="0">
      <alignment horizontal="center" vertical="center"/>
    </xf>
    <xf numFmtId="3" fontId="19" fillId="4" borderId="0" applyAlignment="1" pivotButton="0" quotePrefix="0" xfId="0">
      <alignment horizontal="center" vertical="center"/>
    </xf>
    <xf numFmtId="0" fontId="20" fillId="5" borderId="0" pivotButton="0" quotePrefix="0" xfId="0"/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16" fillId="5" borderId="0" applyAlignment="1" pivotButton="0" quotePrefix="0" xfId="0">
      <alignment horizontal="center" vertical="center" wrapText="1"/>
    </xf>
    <xf numFmtId="169" fontId="3" fillId="0" borderId="0" pivotButton="0" quotePrefix="0" xfId="0"/>
    <xf numFmtId="1" fontId="0" fillId="0" borderId="0" applyAlignment="1" pivotButton="0" quotePrefix="0" xfId="0">
      <alignment vertical="bottom"/>
    </xf>
    <xf numFmtId="169" fontId="0" fillId="0" borderId="0" pivotButton="0" quotePrefix="0" xfId="0"/>
    <xf numFmtId="0" fontId="13" fillId="0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17" fillId="0" borderId="0" pivotButton="0" quotePrefix="0" xfId="0"/>
    <xf numFmtId="169" fontId="18" fillId="0" borderId="0" pivotButton="0" quotePrefix="0" xfId="0"/>
    <xf numFmtId="3" fontId="18" fillId="0" borderId="0" pivotButton="0" quotePrefix="0" xfId="0"/>
    <xf numFmtId="0" fontId="8" fillId="6" borderId="0" applyAlignment="1" pivotButton="0" quotePrefix="0" xfId="0">
      <alignment vertical="center" wrapText="1"/>
    </xf>
    <xf numFmtId="170" fontId="0" fillId="0" borderId="0" applyAlignment="1" pivotButton="0" quotePrefix="0" xfId="0">
      <alignment vertical="center" wrapText="1"/>
    </xf>
    <xf numFmtId="169" fontId="0" fillId="0" borderId="0" applyAlignment="1" pivotButton="0" quotePrefix="0" xfId="0">
      <alignment vertical="center" wrapText="1"/>
    </xf>
    <xf numFmtId="170" fontId="0" fillId="6" borderId="0" applyAlignment="1" pivotButton="0" quotePrefix="0" xfId="0">
      <alignment vertical="center" wrapText="1"/>
    </xf>
    <xf numFmtId="169" fontId="0" fillId="6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168" fontId="0" fillId="6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 wrapText="1"/>
    </xf>
    <xf numFmtId="0" fontId="18" fillId="0" borderId="0" pivotButton="0" quotePrefix="0" xfId="0"/>
    <xf numFmtId="171" fontId="0" fillId="0" borderId="0" pivotButton="0" quotePrefix="0" xfId="0"/>
    <xf numFmtId="0" fontId="17" fillId="6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0" fillId="0" borderId="0" applyAlignment="1" pivotButton="0" quotePrefix="0" xfId="0">
      <alignment vertical="center" wrapText="1"/>
    </xf>
    <xf numFmtId="170" fontId="0" fillId="6" borderId="0" applyAlignment="1" pivotButton="0" quotePrefix="0" xfId="0">
      <alignment vertical="center" wrapText="1"/>
    </xf>
    <xf numFmtId="171" fontId="0" fillId="0" borderId="0" pivotButton="0" quotePrefix="0" xfId="0"/>
    <xf numFmtId="0" fontId="21" fillId="5" borderId="0" applyAlignment="1" pivotButton="0" quotePrefix="0" xfId="0">
      <alignment vertical="center"/>
    </xf>
    <xf numFmtId="0" fontId="13" fillId="0" borderId="0" applyAlignment="1" pivotButton="0" quotePrefix="0" xfId="0">
      <alignment wrapText="1"/>
    </xf>
    <xf numFmtId="0" fontId="22" fillId="5" borderId="0" pivotButton="0" quotePrefix="0" xfId="0"/>
    <xf numFmtId="0" fontId="8" fillId="10" borderId="0" pivotButton="0" quotePrefix="0" xfId="0"/>
    <xf numFmtId="170" fontId="0" fillId="0" borderId="0" pivotButton="0" quotePrefix="0" xfId="0"/>
    <xf numFmtId="0" fontId="20" fillId="5" borderId="0" applyAlignment="1" pivotButton="0" quotePrefix="0" xfId="0">
      <alignment vertical="center" wrapText="1"/>
    </xf>
    <xf numFmtId="170" fontId="8" fillId="6" borderId="0" applyAlignment="1" pivotButton="0" quotePrefix="0" xfId="0">
      <alignment vertical="center" wrapText="1"/>
    </xf>
    <xf numFmtId="0" fontId="8" fillId="10" borderId="0" applyAlignment="1" pivotButton="0" quotePrefix="0" xfId="0">
      <alignment vertical="center" wrapText="1"/>
    </xf>
    <xf numFmtId="9" fontId="8" fillId="5" borderId="0" pivotButton="0" quotePrefix="0" xfId="0"/>
    <xf numFmtId="9" fontId="8" fillId="10" borderId="0" applyAlignment="1" pivotButton="0" quotePrefix="0" xfId="0">
      <alignment wrapText="1"/>
    </xf>
    <xf numFmtId="169" fontId="8" fillId="10" borderId="0" applyAlignment="1" pivotButton="0" quotePrefix="0" xfId="0">
      <alignment wrapText="1"/>
    </xf>
    <xf numFmtId="168" fontId="8" fillId="10" borderId="0" applyAlignment="1" pivotButton="0" quotePrefix="0" xfId="0">
      <alignment wrapText="1"/>
    </xf>
    <xf numFmtId="0" fontId="8" fillId="10" borderId="0" applyAlignment="1" pivotButton="0" quotePrefix="0" xfId="0">
      <alignment wrapText="1"/>
    </xf>
    <xf numFmtId="9" fontId="18" fillId="0" borderId="0" pivotButton="0" quotePrefix="0" xfId="0"/>
    <xf numFmtId="9" fontId="0" fillId="0" borderId="0" applyAlignment="1" pivotButton="0" quotePrefix="0" xfId="0">
      <alignment vertical="top" wrapText="1"/>
    </xf>
    <xf numFmtId="0" fontId="8" fillId="5" borderId="0" pivotButton="0" quotePrefix="0" xfId="0"/>
    <xf numFmtId="169" fontId="0" fillId="0" borderId="0" applyAlignment="1" pivotButton="0" quotePrefix="0" xfId="0">
      <alignment wrapText="1"/>
    </xf>
    <xf numFmtId="0" fontId="24" fillId="5" borderId="0" applyAlignment="1" pivotButton="0" quotePrefix="0" xfId="0">
      <alignment vertical="center"/>
    </xf>
    <xf numFmtId="0" fontId="8" fillId="5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5" fillId="5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70" fontId="8" fillId="5" borderId="0" applyAlignment="1" pivotButton="0" quotePrefix="0" xfId="0">
      <alignment vertical="center"/>
    </xf>
    <xf numFmtId="170" fontId="8" fillId="10" borderId="0" applyAlignment="1" pivotButton="0" quotePrefix="0" xfId="0">
      <alignment vertical="center" wrapText="1"/>
    </xf>
    <xf numFmtId="169" fontId="8" fillId="10" borderId="0" applyAlignment="1" pivotButton="0" quotePrefix="0" xfId="0">
      <alignment vertical="center" wrapText="1"/>
    </xf>
    <xf numFmtId="0" fontId="15" fillId="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'Analysis'!$E$15:$E$24</f>
            </numRef>
          </cat>
          <val>
            <numRef>
              <f>'Analysis'!$G$15:$G$24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numFmt formatCode="$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'Analysis'!$A$15:$A$27</f>
            </numRef>
          </cat>
          <val>
            <numRef>
              <f>'Analysis'!$B$15:$B$27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'Analysis'!$E$15:$E$24</f>
            </numRef>
          </cat>
          <val>
            <numRef>
              <f>'Analysis'!$G$15:$G$24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numFmt formatCode="$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'Analysis'!$A$15:$A$27</f>
            </numRef>
          </cat>
          <val>
            <numRef>
              <f>'Analysis'!$B$15:$B$27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'Analysis'!B32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'Analysis'!$A$33:$A$37</f>
            </numRef>
          </cat>
          <val>
            <numRef>
              <f>'Analysis'!$B$33:$B$37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'Analysis'!F32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'Analysis'!$E$33:$E$35</f>
            </numRef>
          </cat>
          <val>
            <numRef>
              <f>'Analysis'!$F$33:$F$35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S1" authorId="0" shapeId="0">
      <text>
        <t>NOW() is volatile and updates on recalculation. Iterative calculation is enabled in workbook settings.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6" authorId="0" shapeId="0">
      <text>
        <t>Change this input to test discount impact. This is a simplified model, not actual profitability.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F37" authorId="0" shapeId="0">
      <text>
        <t>Excel 365/2021 dynamic array formula. Use Raw Data AutoFilter if your Excel version does not support FILTER.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19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Table" displayName="RawDataTable" ref="A1:S251" headerRowCount="1">
  <autoFilter ref="A1:S251"/>
  <tableColumns count="19">
    <tableColumn id="1" name="Transaction_ID"/>
    <tableColumn id="2" name="Date"/>
    <tableColumn id="3" name="Customer_ID"/>
    <tableColumn id="4" name="Customer_Name"/>
    <tableColumn id="5" name="Product_ID"/>
    <tableColumn id="6" name="Product_Name"/>
    <tableColumn id="7" name="Category"/>
    <tableColumn id="8" name="Quantity"/>
    <tableColumn id="9" name="Unit_Price"/>
    <tableColumn id="10" name="Payment_Method"/>
    <tableColumn id="11" name="Region"/>
    <tableColumn id="12" name="Customer_Segment"/>
    <tableColumn id="13" name="Customer_Since"/>
    <tableColumn id="14" name="Total_Amount"/>
    <tableColumn id="15" name="Month"/>
    <tableColumn id="16" name="Customer_Tenure_Years"/>
    <tableColumn id="17" name="Customer_Abbreviation"/>
    <tableColumn id="18" name="Discounted_Amount (10%)"/>
    <tableColumn id="19" name="Created_Timestamp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ansactionsTable" displayName="TransactionsTable" ref="A1:S251" headerRowCount="1">
  <autoFilter ref="A1:S251"/>
  <tableColumns count="19">
    <tableColumn id="1" name="Transaction_ID"/>
    <tableColumn id="2" name="Date"/>
    <tableColumn id="3" name="Customer_ID"/>
    <tableColumn id="4" name="Customer_Name"/>
    <tableColumn id="5" name="Product_ID"/>
    <tableColumn id="6" name="Product_Name"/>
    <tableColumn id="7" name="Category"/>
    <tableColumn id="8" name="Quantity"/>
    <tableColumn id="9" name="Unit_Price"/>
    <tableColumn id="10" name="Payment_Method"/>
    <tableColumn id="11" name="Region"/>
    <tableColumn id="12" name="Customer_Segment"/>
    <tableColumn id="13" name="Customer_Since"/>
    <tableColumn id="14" name="Total_Amount"/>
    <tableColumn id="15" name="Month"/>
    <tableColumn id="16" name="Customer_Tenure_Years"/>
    <tableColumn id="17" name="Customer_Abbreviation"/>
    <tableColumn id="18" name="Discounted_Amount (10%)"/>
    <tableColumn id="19" name="Created_Timestamp"/>
  </tableColumns>
  <tableStyleInfo name="TableStyleMedium2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1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8" min="1" max="1"/>
    <col width="15" customWidth="1" style="8" min="2" max="2"/>
    <col width="15" customWidth="1" style="8" min="3" max="3"/>
    <col width="15" customWidth="1" style="8" min="4" max="4"/>
    <col width="15" customWidth="1" style="8" min="5" max="5"/>
    <col width="15" customWidth="1" style="8" min="6" max="6"/>
    <col width="15" customWidth="1" style="8" min="7" max="7"/>
    <col width="15" customWidth="1" style="8" min="8" max="8"/>
    <col width="15" customWidth="1" style="8" min="9" max="9"/>
    <col width="15" customWidth="1" style="8" min="10" max="10"/>
    <col width="15" customWidth="1" style="8" min="11" max="11"/>
  </cols>
  <sheetData>
    <row r="1" ht="34" customHeight="1" s="8">
      <c r="A1" s="33" t="inlineStr">
        <is>
          <t>DATA INTELLIGENCE DASHBOARD</t>
        </is>
      </c>
    </row>
    <row r="2">
      <c r="A2" s="34" t="inlineStr">
        <is>
          <t>Customer Transactions | Apr 2024 – Apr 2025 | Excel final project</t>
        </is>
      </c>
    </row>
    <row r="4" ht="25" customHeight="1" s="8">
      <c r="A4" s="35" t="inlineStr">
        <is>
          <t>TOTAL REVENUE</t>
        </is>
      </c>
      <c r="D4" s="35" t="inlineStr">
        <is>
          <t>TRANSACTIONS</t>
        </is>
      </c>
      <c r="G4" s="35" t="inlineStr">
        <is>
          <t>UNITS SOLD</t>
        </is>
      </c>
      <c r="J4" s="35" t="inlineStr">
        <is>
          <t>UNIQUE CUSTOMERS</t>
        </is>
      </c>
    </row>
    <row r="5" ht="36" customHeight="1" s="8">
      <c r="A5" s="36" t="n">
        <v>229192.47</v>
      </c>
      <c r="D5" s="37" t="n">
        <v>250</v>
      </c>
      <c r="G5" s="37" t="n">
        <v>753</v>
      </c>
      <c r="J5" s="37" t="n">
        <v>50</v>
      </c>
    </row>
    <row r="7" ht="26" customHeight="1" s="8">
      <c r="A7" s="74" t="inlineStr">
        <is>
          <t>KEY FINDINGS</t>
        </is>
      </c>
    </row>
    <row r="8" ht="26" customHeight="1" s="8">
      <c r="A8" s="39" t="inlineStr">
        <is>
          <t>• Total revenue: $229,192.47 across 250 transactions.</t>
        </is>
      </c>
    </row>
    <row r="9" ht="26" customHeight="1" s="8">
      <c r="A9" s="40" t="inlineStr">
        <is>
          <t>• Highest-revenue product: Laptop ($67,499.25).</t>
        </is>
      </c>
    </row>
    <row r="10" ht="26" customHeight="1" s="8">
      <c r="A10" s="39" t="inlineStr">
        <is>
          <t>• Most units sold: Bookshelf (102 units).</t>
        </is>
      </c>
    </row>
    <row r="11" ht="26" customHeight="1" s="8">
      <c r="A11" s="40" t="inlineStr">
        <is>
          <t>• Leading region: East ($59,288.39).</t>
        </is>
      </c>
    </row>
    <row r="12" ht="26" customHeight="1" s="8">
      <c r="A12" s="39" t="inlineStr">
        <is>
          <t>• Top customer: Mark Carter ($15,659.65).</t>
        </is>
      </c>
    </row>
    <row r="13" ht="26" customHeight="1" s="8">
      <c r="A13" s="40" t="inlineStr">
        <is>
          <t>• Highest-revenue category: Electronics ($171,756.05).</t>
        </is>
      </c>
    </row>
    <row r="14" ht="24" customHeight="1" s="8"/>
    <row r="15">
      <c r="A15" s="38" t="inlineStr">
        <is>
          <t>CHARTS</t>
        </is>
      </c>
    </row>
    <row r="17" ht="28" customHeight="1" s="8">
      <c r="A17" s="69" t="inlineStr">
        <is>
          <t>VISUAL SALES SUMMARY</t>
        </is>
      </c>
    </row>
  </sheetData>
  <mergeCells count="19">
    <mergeCell ref="J5:K5"/>
    <mergeCell ref="A15:K15"/>
    <mergeCell ref="A11:K11"/>
    <mergeCell ref="A1:K1"/>
    <mergeCell ref="A7:K7"/>
    <mergeCell ref="A17:L17"/>
    <mergeCell ref="J4:K4"/>
    <mergeCell ref="A12:K12"/>
    <mergeCell ref="A5:B5"/>
    <mergeCell ref="A2:K2"/>
    <mergeCell ref="G5:H5"/>
    <mergeCell ref="D4:E4"/>
    <mergeCell ref="A8:K8"/>
    <mergeCell ref="A4:B4"/>
    <mergeCell ref="G4:H4"/>
    <mergeCell ref="D5:E5"/>
    <mergeCell ref="A10:K10"/>
    <mergeCell ref="A13:K13"/>
    <mergeCell ref="A9:K9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30" customWidth="1" style="8" min="1" max="1"/>
    <col width="14" customWidth="1" style="8" min="2" max="25"/>
    <col width="14" customWidth="1" style="8" min="3" max="3"/>
    <col width="14" customWidth="1" style="8" min="4" max="4"/>
    <col width="14" customWidth="1" style="8" min="5" max="5"/>
    <col width="14" customWidth="1" style="8" min="6" max="6"/>
    <col width="14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4" customWidth="1" style="8" min="14" max="14"/>
    <col width="14" customWidth="1" style="8" min="15" max="15"/>
    <col width="14" customWidth="1" style="8" min="16" max="16"/>
    <col width="14" customWidth="1" style="8" min="17" max="17"/>
    <col width="14" customWidth="1" style="8" min="18" max="18"/>
    <col width="14" customWidth="1" style="8" min="19" max="19"/>
    <col width="14" customWidth="1" style="8" min="20" max="20"/>
    <col width="14" customWidth="1" style="8" min="21" max="21"/>
    <col width="14" customWidth="1" style="8" min="22" max="22"/>
    <col width="14" customWidth="1" style="8" min="23" max="23"/>
    <col width="14" customWidth="1" style="8" min="24" max="24"/>
    <col width="14" customWidth="1" style="8" min="25" max="25"/>
  </cols>
  <sheetData>
    <row r="1" ht="30" customHeight="1" s="8">
      <c r="A1" s="27" t="inlineStr">
        <is>
          <t>PR. Final Project - "Data Intelligence Dashboard"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28" t="inlineStr">
        <is>
          <t>Dataset: Use the 'Final Project Dataset' sheet containing 200+ records of customer transactions.
Objective: 
Create a full-fledged analysis and reporting solution using Excel to analyze customer transactions, find insights, 
and build visualizations and dashboards.
Key Topics to Implement:
- Date &amp; Time Functions: TODAY, NOW, DATEDIF, EOMONTH
- FILTER Function for multi-value returns
- Conditional Formatting with Icons/Arrows
- Create Timestamp (using NOW and iterative calculations)
- WHAT-IF Analysis: Scenario Manager, Goal Seek
- Linear Regression using Data Analysis Toolpak
- Data Analysis &amp; Storytelling from the dataset
- Use GroupBy concepts to find High-Value Customers using formulas
- Create Dashboard using:
    - Pivot Tables
    - Pivot Charts (Bar, Line, Pie)
    - Slicers and Timelines
    - KPI Indicators with Conditional Formatting
- Find most frequently purchased product or repeating names using formulas
- Compare two lists and extract matching names in a new column
- Create Abbreviations using TEXT functions
- Build a final report with insights and storytelling
Deliverable:
- Well-structured workbook with multiple sheets (Raw Data, Analysis, Visualizations, Dashboard)
- Summary Insights with key metrics: Total Revenue, Top Customers, Most Sold Products, Regional Sales
- Use of all required formulas and functions as listed above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15.7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15.7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15.7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15.7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15.7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15.7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15.7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15.7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15.7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15.75" customHeight="1" s="8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15.75" customHeight="1" s="8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15.75" customHeight="1" s="8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15.75" customHeight="1" s="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15.75" customHeight="1" s="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15.75" customHeight="1" s="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15.75" customHeight="1" s="8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15.75" customHeight="1" s="8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15.75" customHeight="1" s="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15.75" customHeight="1" s="8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15.75" customHeight="1" s="8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15.75" customHeight="1" s="8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15.75" customHeight="1" s="8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15.75" customHeight="1" s="8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15.75" customHeight="1" s="8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15.75" customHeight="1" s="8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15.75" customHeight="1" s="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15.75" customHeight="1" s="8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15.75" customHeight="1" s="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15.75" customHeight="1" s="8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15.75" customHeight="1" s="8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8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 ht="15.75" customHeight="1" s="8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 ht="15.75" customHeight="1" s="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 ht="15.75" customHeight="1" s="8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 ht="15.75" customHeight="1" s="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 ht="15.75" customHeight="1" s="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 ht="15.75" customHeight="1" s="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 ht="15.75" customHeight="1" s="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 ht="15.75" customHeight="1" s="8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 ht="15.75" customHeight="1" s="8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 ht="15.75" customHeight="1" s="8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 ht="15.75" customHeight="1" s="8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 ht="15.75" customHeight="1" s="8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 ht="15.75" customHeight="1" s="8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 ht="15.75" customHeight="1" s="8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 ht="15.75" customHeight="1" s="8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 ht="15.75" customHeight="1" s="8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 ht="15.75" customHeight="1" s="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 ht="15.75" customHeight="1" s="8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 ht="15.75" customHeight="1" s="8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 ht="15.75" customHeight="1" s="8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 ht="15.75" customHeight="1" s="8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 ht="15.75" customHeight="1" s="8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 ht="15.75" customHeight="1" s="8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 ht="15.75" customHeight="1" s="8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 ht="15.75" customHeight="1" s="8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 ht="15.75" customHeight="1" s="8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 ht="15.75" customHeight="1" s="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 ht="15.75" customHeight="1" s="8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 ht="15.75" customHeight="1" s="8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 ht="15.75" customHeight="1" s="8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 ht="15.75" customHeight="1" s="8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 ht="15.75" customHeight="1" s="8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 ht="15.75" customHeight="1" s="8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 ht="15.75" customHeight="1" s="8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 ht="15.75" customHeight="1" s="8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 ht="15.75" customHeight="1" s="8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 ht="15.75" customHeight="1" s="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 ht="15.75" customHeight="1" s="8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 ht="15.75" customHeight="1" s="8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 ht="15.75" customHeight="1" s="8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 ht="15.75" customHeight="1" s="8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 ht="15.75" customHeight="1" s="8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 ht="15.75" customHeight="1" s="8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 ht="15.75" customHeight="1" s="8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 ht="15.75" customHeight="1" s="8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 ht="15.75" customHeight="1" s="8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 ht="15.75" customHeight="1" s="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 ht="15.75" customHeight="1" s="8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 ht="15.75" customHeight="1" s="8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 ht="15.75" customHeight="1" s="8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 ht="15.75" customHeight="1" s="8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 ht="15.75" customHeight="1" s="8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 ht="15.75" customHeight="1" s="8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 ht="15.75" customHeight="1" s="8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 ht="15.75" customHeight="1" s="8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 ht="15.75" customHeight="1" s="8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 ht="15.75" customHeight="1" s="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 ht="15.75" customHeight="1" s="8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 ht="15.75" customHeight="1" s="8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 ht="15.75" customHeight="1" s="8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 ht="15.75" customHeight="1" s="8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 ht="15.75" customHeight="1" s="8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 ht="15.75" customHeight="1" s="8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 ht="15.75" customHeight="1" s="8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 ht="15.75" customHeight="1" s="8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 ht="15.75" customHeight="1" s="8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 ht="15.75" customHeight="1" s="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 ht="15.75" customHeight="1" s="8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 ht="15.75" customHeight="1" s="8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 ht="15.75" customHeight="1" s="8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 ht="15.75" customHeight="1" s="8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 ht="15.75" customHeight="1" s="8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 ht="15.75" customHeight="1" s="8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 ht="15.75" customHeight="1" s="8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 ht="15.75" customHeight="1" s="8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 ht="15.75" customHeight="1" s="8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 ht="15.75" customHeight="1" s="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 ht="15.75" customHeight="1" s="8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 ht="15.75" customHeight="1" s="8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 ht="15.75" customHeight="1" s="8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 ht="15.75" customHeight="1" s="8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 ht="15.75" customHeight="1" s="8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 ht="15.75" customHeight="1" s="8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 ht="15.75" customHeight="1" s="8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 ht="15.75" customHeight="1" s="8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 ht="15.75" customHeight="1" s="8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 ht="15.75" customHeight="1" s="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 ht="15.75" customHeight="1" s="8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 ht="15.75" customHeight="1" s="8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 ht="15.75" customHeight="1" s="8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 ht="15.75" customHeight="1" s="8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 ht="15.75" customHeight="1" s="8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 ht="15.75" customHeight="1" s="8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 ht="15.75" customHeight="1" s="8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 ht="15.75" customHeight="1" s="8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 ht="15.75" customHeight="1" s="8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 ht="15.75" customHeight="1" s="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 ht="15.75" customHeight="1" s="8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 ht="15.75" customHeight="1" s="8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 ht="15.75" customHeight="1" s="8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 ht="15.75" customHeight="1" s="8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 ht="15.75" customHeight="1" s="8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 ht="15.75" customHeight="1" s="8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 ht="15.75" customHeight="1" s="8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 ht="15.75" customHeight="1" s="8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 ht="15.75" customHeight="1" s="8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 ht="15.75" customHeight="1" s="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 ht="15.75" customHeight="1" s="8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 ht="15.75" customHeight="1" s="8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 ht="15.75" customHeight="1" s="8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 ht="15.75" customHeight="1" s="8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 ht="15.75" customHeight="1" s="8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 ht="15.75" customHeight="1" s="8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 ht="15.75" customHeight="1" s="8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 ht="15.75" customHeight="1" s="8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 ht="15.75" customHeight="1" s="8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 ht="15.75" customHeight="1" s="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 ht="15.75" customHeight="1" s="8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 ht="15.75" customHeight="1" s="8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 ht="15.75" customHeight="1" s="8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8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8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8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8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8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8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8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8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8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8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8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8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8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8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8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8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8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8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8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8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8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8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8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8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8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8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8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8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8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8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8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8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8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8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8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8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8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8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8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8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8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8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8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8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8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8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8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8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8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8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8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8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8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8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8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8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8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8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8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8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8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8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8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8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8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8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8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8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8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8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8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8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8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8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8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8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8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8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8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8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8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8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8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8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8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8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8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8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8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8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8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8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8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8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8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8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8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8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8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8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8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8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8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8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8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8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8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8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8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8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8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8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8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8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8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8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8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8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8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8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8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8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8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8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8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8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8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8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8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8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8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8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8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8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8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8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8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8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8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8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8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8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8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8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8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8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8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8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8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8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8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8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8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8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8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8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8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8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8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8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8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8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8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8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8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8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8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8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8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8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8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8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8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8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8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8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8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8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8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8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8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8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8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8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8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8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8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8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8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8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8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8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8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8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8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8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8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8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8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8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8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8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8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8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8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8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8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8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8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8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8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8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8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8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8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8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8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8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8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8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8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8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8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8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8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8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8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8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8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8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8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8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8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8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8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8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8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8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8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8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8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8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8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8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8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8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8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8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8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8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8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8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8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8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8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8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8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8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8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8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8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8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8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8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8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8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8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8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8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8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8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8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8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8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8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8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8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8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8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8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8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8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8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8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8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8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8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8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8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8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8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8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8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8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8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8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8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8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8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8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8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8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8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8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8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8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8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8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8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8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8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8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8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8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8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8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8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8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8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8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8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8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8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8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8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8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8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8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8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8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8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8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8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8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8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8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8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8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8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8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8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8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8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8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8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8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8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8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8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8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8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8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8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8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8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8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8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8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8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8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8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8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8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8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8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8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8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8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8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8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8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8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8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8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8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8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8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8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8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8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8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8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8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8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8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8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8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8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8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8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8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8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8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8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8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8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8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8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8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8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8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8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8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8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8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8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8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8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8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8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8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8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8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8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8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8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8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8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8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8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8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8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8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8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8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8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8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8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8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8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8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8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8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8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8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8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8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8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8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8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8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8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8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8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8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8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8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8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8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8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8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8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8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8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8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8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8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8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8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8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8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8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8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8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8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8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8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8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8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8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8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8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8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8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8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8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8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8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8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8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8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8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8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8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8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8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8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8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8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8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8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8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8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8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8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8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8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8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8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8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8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8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8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8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8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8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8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8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8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8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8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8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8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8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8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8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8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8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8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8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8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8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8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8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8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8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8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8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8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8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8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8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8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8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8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8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8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8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8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8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8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8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8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8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8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8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8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8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8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8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8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8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8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8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8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8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8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8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8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8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8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8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8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8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8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8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8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8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8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8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8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8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8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8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8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8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8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8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8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8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8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8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8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8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8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8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8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8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8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8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8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8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8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8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8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8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8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8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8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8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8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8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8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8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8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8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8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8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8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8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8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8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8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8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8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8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8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8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8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8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8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8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8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8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8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8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8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8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8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8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8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8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8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8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8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8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8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8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8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8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8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8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8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8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8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8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8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8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8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8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8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8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8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8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8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8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8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8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8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8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8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8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8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8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8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8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8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8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8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8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8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8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8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8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8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8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8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8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8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8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8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8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8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8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8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8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8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8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8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8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8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8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8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8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8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8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8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8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8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8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8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8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8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8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8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8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8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8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8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8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8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8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8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8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8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8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8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8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8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8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8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8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8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8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8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8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8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8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8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8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8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8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8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8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8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8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8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8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8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8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8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8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8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8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  <row r="999" ht="15.75" customHeight="1" s="8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</row>
    <row r="1000" ht="15.75" customHeight="1" s="8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</row>
  </sheetData>
  <pageMargins left="0.75" right="0.75" top="1" bottom="1" header="0" footer="0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Z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6" customWidth="1" style="8" min="1" max="1"/>
    <col width="14" customWidth="1" style="8" min="2" max="2"/>
    <col width="14" customWidth="1" style="8" min="3" max="3"/>
    <col width="24" customWidth="1" style="8" min="4" max="4"/>
    <col width="12" customWidth="1" style="8" min="5" max="5"/>
    <col width="20" customWidth="1" style="8" min="6" max="6"/>
    <col width="16" customWidth="1" style="8" min="7" max="7"/>
    <col width="12" customWidth="1" style="8" min="8" max="8"/>
    <col width="14" customWidth="1" style="8" min="9" max="9"/>
    <col width="17" customWidth="1" style="8" min="10" max="10"/>
    <col width="14" customWidth="1" style="8" min="11" max="11"/>
    <col width="18" customWidth="1" style="8" min="12" max="12"/>
    <col width="16" customWidth="1" style="8" min="13" max="13"/>
    <col width="17" customWidth="1" style="8" min="14" max="14"/>
    <col width="13" customWidth="1" style="8" min="15" max="26"/>
    <col width="22" customWidth="1" style="8" min="16" max="16"/>
    <col width="22" customWidth="1" style="8" min="17" max="17"/>
    <col width="22" customWidth="1" style="8" min="18" max="18"/>
    <col width="24" customWidth="1" style="8" min="19" max="19"/>
  </cols>
  <sheetData>
    <row r="1" ht="32" customHeight="1" s="8">
      <c r="A1" s="41" t="inlineStr">
        <is>
          <t>Transaction_ID</t>
        </is>
      </c>
      <c r="B1" s="41" t="inlineStr">
        <is>
          <t>Date</t>
        </is>
      </c>
      <c r="C1" s="41" t="inlineStr">
        <is>
          <t>Customer_ID</t>
        </is>
      </c>
      <c r="D1" s="41" t="inlineStr">
        <is>
          <t>Customer_Name</t>
        </is>
      </c>
      <c r="E1" s="41" t="inlineStr">
        <is>
          <t>Product_ID</t>
        </is>
      </c>
      <c r="F1" s="41" t="inlineStr">
        <is>
          <t>Product_Name</t>
        </is>
      </c>
      <c r="G1" s="41" t="inlineStr">
        <is>
          <t>Category</t>
        </is>
      </c>
      <c r="H1" s="41" t="inlineStr">
        <is>
          <t>Quantity</t>
        </is>
      </c>
      <c r="I1" s="41" t="inlineStr">
        <is>
          <t>Unit_Price</t>
        </is>
      </c>
      <c r="J1" s="41" t="inlineStr">
        <is>
          <t>Payment_Method</t>
        </is>
      </c>
      <c r="K1" s="41" t="inlineStr">
        <is>
          <t>Region</t>
        </is>
      </c>
      <c r="L1" s="41" t="inlineStr">
        <is>
          <t>Customer_Segment</t>
        </is>
      </c>
      <c r="M1" s="41" t="inlineStr">
        <is>
          <t>Customer_Since</t>
        </is>
      </c>
      <c r="N1" s="41" t="inlineStr">
        <is>
          <t>Total_Amount</t>
        </is>
      </c>
      <c r="O1" s="41" t="inlineStr">
        <is>
          <t>Month</t>
        </is>
      </c>
      <c r="P1" s="41" t="inlineStr">
        <is>
          <t>Customer_Tenure_Years</t>
        </is>
      </c>
      <c r="Q1" s="41" t="inlineStr">
        <is>
          <t>Customer_Abbreviation</t>
        </is>
      </c>
      <c r="R1" s="41" t="inlineStr">
        <is>
          <t>Discounted_Amount (10%)</t>
        </is>
      </c>
      <c r="S1" s="41" t="inlineStr">
        <is>
          <t>Created_Timestamp</t>
        </is>
      </c>
      <c r="T1" s="4" t="n"/>
      <c r="U1" s="4" t="n"/>
      <c r="V1" s="4" t="n"/>
      <c r="W1" s="4" t="n"/>
      <c r="X1" s="4" t="n"/>
      <c r="Y1" s="4" t="n"/>
      <c r="Z1" s="4" t="n"/>
    </row>
    <row r="2">
      <c r="A2" s="5" t="inlineStr">
        <is>
          <t>TRX0155</t>
        </is>
      </c>
      <c r="B2" s="29" t="n">
        <v>45393</v>
      </c>
      <c r="C2" s="5" t="inlineStr">
        <is>
          <t>CUST023</t>
        </is>
      </c>
      <c r="D2" s="5" t="inlineStr">
        <is>
          <t>Paul Baker</t>
        </is>
      </c>
      <c r="E2" s="5" t="inlineStr">
        <is>
          <t>P009</t>
        </is>
      </c>
      <c r="F2" s="5" t="inlineStr">
        <is>
          <t>Monitor</t>
        </is>
      </c>
      <c r="G2" s="5" t="inlineStr">
        <is>
          <t>Electronics</t>
        </is>
      </c>
      <c r="H2" s="5" t="n">
        <v>3</v>
      </c>
      <c r="I2" s="42" t="n">
        <v>249.99</v>
      </c>
      <c r="J2" s="5" t="inlineStr">
        <is>
          <t>Cash</t>
        </is>
      </c>
      <c r="K2" s="5" t="inlineStr">
        <is>
          <t>Central</t>
        </is>
      </c>
      <c r="L2" s="5" t="inlineStr">
        <is>
          <t>Basic</t>
        </is>
      </c>
      <c r="M2" s="29" t="n">
        <v>44425</v>
      </c>
      <c r="N2" s="42" t="n">
        <v>749.97</v>
      </c>
      <c r="O2" s="0">
        <f>TEXT(B2,"yyyy-mm")</f>
        <v/>
      </c>
      <c r="P2" s="43">
        <f>DATEDIF(M2,TODAY(),"Y")</f>
        <v/>
      </c>
      <c r="Q2" s="0">
        <f>UPPER(LEFT(D2,1)&amp;MID(D2,FIND(" ",D2)+1,1))</f>
        <v/>
      </c>
      <c r="R2" s="44">
        <f>N2*90%</f>
        <v/>
      </c>
      <c r="S2" s="18">
        <f>NOW()</f>
        <v/>
      </c>
    </row>
    <row r="3">
      <c r="A3" s="5" t="inlineStr">
        <is>
          <t>TRX0023</t>
        </is>
      </c>
      <c r="B3" s="29" t="n">
        <v>45396</v>
      </c>
      <c r="C3" s="5" t="inlineStr">
        <is>
          <t>CUST013</t>
        </is>
      </c>
      <c r="D3" s="5" t="inlineStr">
        <is>
          <t>Joseph Jackson</t>
        </is>
      </c>
      <c r="E3" s="5" t="inlineStr">
        <is>
          <t>P009</t>
        </is>
      </c>
      <c r="F3" s="5" t="inlineStr">
        <is>
          <t>Monitor</t>
        </is>
      </c>
      <c r="G3" s="5" t="inlineStr">
        <is>
          <t>Electronics</t>
        </is>
      </c>
      <c r="H3" s="5" t="n">
        <v>3</v>
      </c>
      <c r="I3" s="42" t="n">
        <v>249.99</v>
      </c>
      <c r="J3" s="5" t="inlineStr">
        <is>
          <t>Credit Card</t>
        </is>
      </c>
      <c r="K3" s="5" t="inlineStr">
        <is>
          <t>Central</t>
        </is>
      </c>
      <c r="L3" s="5" t="inlineStr">
        <is>
          <t>Premium</t>
        </is>
      </c>
      <c r="M3" s="29" t="n">
        <v>44575</v>
      </c>
      <c r="N3" s="42" t="n">
        <v>749.97</v>
      </c>
      <c r="O3" s="0">
        <f>TEXT(B3,"yyyy-mm")</f>
        <v/>
      </c>
      <c r="P3" s="43">
        <f>DATEDIF(M3,TODAY(),"Y")</f>
        <v/>
      </c>
      <c r="Q3" s="0">
        <f>UPPER(LEFT(D3,1)&amp;MID(D3,FIND(" ",D3)+1,1))</f>
        <v/>
      </c>
      <c r="R3" s="44">
        <f>N3*90%</f>
        <v/>
      </c>
      <c r="S3" s="18">
        <f>NOW()</f>
        <v/>
      </c>
    </row>
    <row r="4">
      <c r="A4" s="5" t="inlineStr">
        <is>
          <t>TRX0139</t>
        </is>
      </c>
      <c r="B4" s="29" t="n">
        <v>45399</v>
      </c>
      <c r="C4" s="5" t="inlineStr">
        <is>
          <t>CUST021</t>
        </is>
      </c>
      <c r="D4" s="5" t="inlineStr">
        <is>
          <t>Kevin Scott</t>
        </is>
      </c>
      <c r="E4" s="5" t="inlineStr">
        <is>
          <t>P005</t>
        </is>
      </c>
      <c r="F4" s="5" t="inlineStr">
        <is>
          <t>Blender</t>
        </is>
      </c>
      <c r="G4" s="5" t="inlineStr">
        <is>
          <t>Appliances</t>
        </is>
      </c>
      <c r="H4" s="5" t="n">
        <v>3</v>
      </c>
      <c r="I4" s="42" t="n">
        <v>59.99</v>
      </c>
      <c r="J4" s="5" t="inlineStr">
        <is>
          <t>PayPal</t>
        </is>
      </c>
      <c r="K4" s="5" t="inlineStr">
        <is>
          <t>South</t>
        </is>
      </c>
      <c r="L4" s="5" t="inlineStr">
        <is>
          <t>Standard</t>
        </is>
      </c>
      <c r="M4" s="29" t="n">
        <v>45262</v>
      </c>
      <c r="N4" s="42" t="n">
        <v>179.97</v>
      </c>
      <c r="O4" s="0">
        <f>TEXT(B4,"yyyy-mm")</f>
        <v/>
      </c>
      <c r="P4" s="43">
        <f>DATEDIF(M4,TODAY(),"Y")</f>
        <v/>
      </c>
      <c r="Q4" s="0">
        <f>UPPER(LEFT(D4,1)&amp;MID(D4,FIND(" ",D4)+1,1))</f>
        <v/>
      </c>
      <c r="R4" s="44">
        <f>N4*90%</f>
        <v/>
      </c>
      <c r="S4" s="18">
        <f>NOW()</f>
        <v/>
      </c>
    </row>
    <row r="5">
      <c r="A5" s="5" t="inlineStr">
        <is>
          <t>TRX0043</t>
        </is>
      </c>
      <c r="B5" s="29" t="n">
        <v>45400</v>
      </c>
      <c r="C5" s="5" t="inlineStr">
        <is>
          <t>CUST046</t>
        </is>
      </c>
      <c r="D5" s="5" t="inlineStr">
        <is>
          <t>Kathleen Bennett</t>
        </is>
      </c>
      <c r="E5" s="5" t="inlineStr">
        <is>
          <t>P005</t>
        </is>
      </c>
      <c r="F5" s="5" t="inlineStr">
        <is>
          <t>Blender</t>
        </is>
      </c>
      <c r="G5" s="5" t="inlineStr">
        <is>
          <t>Appliances</t>
        </is>
      </c>
      <c r="H5" s="5" t="n">
        <v>3</v>
      </c>
      <c r="I5" s="42" t="n">
        <v>59.99</v>
      </c>
      <c r="J5" s="5" t="inlineStr">
        <is>
          <t>Cash</t>
        </is>
      </c>
      <c r="K5" s="5" t="inlineStr">
        <is>
          <t>North</t>
        </is>
      </c>
      <c r="L5" s="5" t="inlineStr">
        <is>
          <t>Premium</t>
        </is>
      </c>
      <c r="M5" s="29" t="n">
        <v>45114</v>
      </c>
      <c r="N5" s="42" t="n">
        <v>179.97</v>
      </c>
      <c r="O5" s="0">
        <f>TEXT(B5,"yyyy-mm")</f>
        <v/>
      </c>
      <c r="P5" s="43">
        <f>DATEDIF(M5,TODAY(),"Y")</f>
        <v/>
      </c>
      <c r="Q5" s="0">
        <f>UPPER(LEFT(D5,1)&amp;MID(D5,FIND(" ",D5)+1,1))</f>
        <v/>
      </c>
      <c r="R5" s="44">
        <f>N5*90%</f>
        <v/>
      </c>
      <c r="S5" s="18">
        <f>NOW()</f>
        <v/>
      </c>
    </row>
    <row r="6">
      <c r="A6" s="5" t="inlineStr">
        <is>
          <t>TRX0212</t>
        </is>
      </c>
      <c r="B6" s="29" t="n">
        <v>45400</v>
      </c>
      <c r="C6" s="5" t="inlineStr">
        <is>
          <t>CUST003</t>
        </is>
      </c>
      <c r="D6" s="5" t="inlineStr">
        <is>
          <t>Michael Brown</t>
        </is>
      </c>
      <c r="E6" s="5" t="inlineStr">
        <is>
          <t>P008</t>
        </is>
      </c>
      <c r="F6" s="5" t="inlineStr">
        <is>
          <t>Bookshelf</t>
        </is>
      </c>
      <c r="G6" s="5" t="inlineStr">
        <is>
          <t>Furniture</t>
        </is>
      </c>
      <c r="H6" s="5" t="n">
        <v>5</v>
      </c>
      <c r="I6" s="42" t="n">
        <v>149.99</v>
      </c>
      <c r="J6" s="5" t="inlineStr">
        <is>
          <t>Credit Card</t>
        </is>
      </c>
      <c r="K6" s="5" t="inlineStr">
        <is>
          <t>North</t>
        </is>
      </c>
      <c r="L6" s="5" t="inlineStr">
        <is>
          <t>Premium</t>
        </is>
      </c>
      <c r="M6" s="29" t="n">
        <v>45295</v>
      </c>
      <c r="N6" s="42" t="n">
        <v>749.95</v>
      </c>
      <c r="O6" s="0">
        <f>TEXT(B6,"yyyy-mm")</f>
        <v/>
      </c>
      <c r="P6" s="43">
        <f>DATEDIF(M6,TODAY(),"Y")</f>
        <v/>
      </c>
      <c r="Q6" s="0">
        <f>UPPER(LEFT(D6,1)&amp;MID(D6,FIND(" ",D6)+1,1))</f>
        <v/>
      </c>
      <c r="R6" s="44">
        <f>N6*90%</f>
        <v/>
      </c>
      <c r="S6" s="18">
        <f>NOW()</f>
        <v/>
      </c>
    </row>
    <row r="7">
      <c r="A7" s="5" t="inlineStr">
        <is>
          <t>TRX0092</t>
        </is>
      </c>
      <c r="B7" s="29" t="n">
        <v>45403</v>
      </c>
      <c r="C7" s="5" t="inlineStr">
        <is>
          <t>CUST024</t>
        </is>
      </c>
      <c r="D7" s="5" t="inlineStr">
        <is>
          <t>Dorothy Nelson</t>
        </is>
      </c>
      <c r="E7" s="5" t="inlineStr">
        <is>
          <t>P005</t>
        </is>
      </c>
      <c r="F7" s="5" t="inlineStr">
        <is>
          <t>Blender</t>
        </is>
      </c>
      <c r="G7" s="5" t="inlineStr">
        <is>
          <t>Appliances</t>
        </is>
      </c>
      <c r="H7" s="5" t="n">
        <v>2</v>
      </c>
      <c r="I7" s="42" t="n">
        <v>59.99</v>
      </c>
      <c r="J7" s="5" t="inlineStr">
        <is>
          <t>Cash</t>
        </is>
      </c>
      <c r="K7" s="5" t="inlineStr">
        <is>
          <t>West</t>
        </is>
      </c>
      <c r="L7" s="5" t="inlineStr">
        <is>
          <t>Standard</t>
        </is>
      </c>
      <c r="M7" s="29" t="n">
        <v>44746</v>
      </c>
      <c r="N7" s="42" t="n">
        <v>119.98</v>
      </c>
      <c r="O7" s="0">
        <f>TEXT(B7,"yyyy-mm")</f>
        <v/>
      </c>
      <c r="P7" s="43">
        <f>DATEDIF(M7,TODAY(),"Y")</f>
        <v/>
      </c>
      <c r="Q7" s="0">
        <f>UPPER(LEFT(D7,1)&amp;MID(D7,FIND(" ",D7)+1,1))</f>
        <v/>
      </c>
      <c r="R7" s="44">
        <f>N7*90%</f>
        <v/>
      </c>
      <c r="S7" s="18">
        <f>NOW()</f>
        <v/>
      </c>
    </row>
    <row r="8">
      <c r="A8" s="5" t="inlineStr">
        <is>
          <t>TRX0193</t>
        </is>
      </c>
      <c r="B8" s="29" t="n">
        <v>45403</v>
      </c>
      <c r="C8" s="5" t="inlineStr">
        <is>
          <t>CUST024</t>
        </is>
      </c>
      <c r="D8" s="5" t="inlineStr">
        <is>
          <t>Dorothy Nelson</t>
        </is>
      </c>
      <c r="E8" s="5" t="inlineStr">
        <is>
          <t>P003</t>
        </is>
      </c>
      <c r="F8" s="5" t="inlineStr">
        <is>
          <t>Headphones</t>
        </is>
      </c>
      <c r="G8" s="5" t="inlineStr">
        <is>
          <t>Electronics</t>
        </is>
      </c>
      <c r="H8" s="5" t="n">
        <v>5</v>
      </c>
      <c r="I8" s="42" t="n">
        <v>149.99</v>
      </c>
      <c r="J8" s="5" t="inlineStr">
        <is>
          <t>Credit Card</t>
        </is>
      </c>
      <c r="K8" s="5" t="inlineStr">
        <is>
          <t>Central</t>
        </is>
      </c>
      <c r="L8" s="5" t="inlineStr">
        <is>
          <t>Standard</t>
        </is>
      </c>
      <c r="M8" s="29" t="n">
        <v>44418</v>
      </c>
      <c r="N8" s="42" t="n">
        <v>749.95</v>
      </c>
      <c r="O8" s="0">
        <f>TEXT(B8,"yyyy-mm")</f>
        <v/>
      </c>
      <c r="P8" s="43">
        <f>DATEDIF(M8,TODAY(),"Y")</f>
        <v/>
      </c>
      <c r="Q8" s="0">
        <f>UPPER(LEFT(D8,1)&amp;MID(D8,FIND(" ",D8)+1,1))</f>
        <v/>
      </c>
      <c r="R8" s="44">
        <f>N8*90%</f>
        <v/>
      </c>
      <c r="S8" s="18">
        <f>NOW()</f>
        <v/>
      </c>
    </row>
    <row r="9">
      <c r="A9" s="5" t="inlineStr">
        <is>
          <t>TRX0240</t>
        </is>
      </c>
      <c r="B9" s="29" t="n">
        <v>45403</v>
      </c>
      <c r="C9" s="5" t="inlineStr">
        <is>
          <t>CUST017</t>
        </is>
      </c>
      <c r="D9" s="5" t="inlineStr">
        <is>
          <t>Charles Allen</t>
        </is>
      </c>
      <c r="E9" s="5" t="inlineStr">
        <is>
          <t>P005</t>
        </is>
      </c>
      <c r="F9" s="5" t="inlineStr">
        <is>
          <t>Blender</t>
        </is>
      </c>
      <c r="G9" s="5" t="inlineStr">
        <is>
          <t>Appliances</t>
        </is>
      </c>
      <c r="H9" s="5" t="n">
        <v>3</v>
      </c>
      <c r="I9" s="42" t="n">
        <v>59.99</v>
      </c>
      <c r="J9" s="5" t="inlineStr">
        <is>
          <t>Debit Card</t>
        </is>
      </c>
      <c r="K9" s="5" t="inlineStr">
        <is>
          <t>South</t>
        </is>
      </c>
      <c r="L9" s="5" t="inlineStr">
        <is>
          <t>Basic</t>
        </is>
      </c>
      <c r="M9" s="29" t="n">
        <v>45007</v>
      </c>
      <c r="N9" s="42" t="n">
        <v>179.97</v>
      </c>
      <c r="O9" s="0">
        <f>TEXT(B9,"yyyy-mm")</f>
        <v/>
      </c>
      <c r="P9" s="43">
        <f>DATEDIF(M9,TODAY(),"Y")</f>
        <v/>
      </c>
      <c r="Q9" s="0">
        <f>UPPER(LEFT(D9,1)&amp;MID(D9,FIND(" ",D9)+1,1))</f>
        <v/>
      </c>
      <c r="R9" s="44">
        <f>N9*90%</f>
        <v/>
      </c>
      <c r="S9" s="18">
        <f>NOW()</f>
        <v/>
      </c>
    </row>
    <row r="10">
      <c r="A10" s="5" t="inlineStr">
        <is>
          <t>TRX0135</t>
        </is>
      </c>
      <c r="B10" s="29" t="n">
        <v>45405</v>
      </c>
      <c r="C10" s="5" t="inlineStr">
        <is>
          <t>CUST009</t>
        </is>
      </c>
      <c r="D10" s="5" t="inlineStr">
        <is>
          <t>Robert Thomas</t>
        </is>
      </c>
      <c r="E10" s="5" t="inlineStr">
        <is>
          <t>P001</t>
        </is>
      </c>
      <c r="F10" s="5" t="inlineStr">
        <is>
          <t>Laptop</t>
        </is>
      </c>
      <c r="G10" s="5" t="inlineStr">
        <is>
          <t>Electronics</t>
        </is>
      </c>
      <c r="H10" s="5" t="n">
        <v>3</v>
      </c>
      <c r="I10" s="42" t="n">
        <v>899.99</v>
      </c>
      <c r="J10" s="5" t="inlineStr">
        <is>
          <t>PayPal</t>
        </is>
      </c>
      <c r="K10" s="5" t="inlineStr">
        <is>
          <t>East</t>
        </is>
      </c>
      <c r="L10" s="5" t="inlineStr">
        <is>
          <t>Standard</t>
        </is>
      </c>
      <c r="M10" s="29" t="n">
        <v>45299</v>
      </c>
      <c r="N10" s="42" t="n">
        <v>2699.97</v>
      </c>
      <c r="O10" s="0">
        <f>TEXT(B10,"yyyy-mm")</f>
        <v/>
      </c>
      <c r="P10" s="43">
        <f>DATEDIF(M10,TODAY(),"Y")</f>
        <v/>
      </c>
      <c r="Q10" s="0">
        <f>UPPER(LEFT(D10,1)&amp;MID(D10,FIND(" ",D10)+1,1))</f>
        <v/>
      </c>
      <c r="R10" s="44">
        <f>N10*90%</f>
        <v/>
      </c>
      <c r="S10" s="18">
        <f>NOW()</f>
        <v/>
      </c>
    </row>
    <row r="11">
      <c r="A11" s="5" t="inlineStr">
        <is>
          <t>TRX0185</t>
        </is>
      </c>
      <c r="B11" s="29" t="n">
        <v>45408</v>
      </c>
      <c r="C11" s="5" t="inlineStr">
        <is>
          <t>CUST026</t>
        </is>
      </c>
      <c r="D11" s="5" t="inlineStr">
        <is>
          <t>Karen Hill</t>
        </is>
      </c>
      <c r="E11" s="5" t="inlineStr">
        <is>
          <t>P005</t>
        </is>
      </c>
      <c r="F11" s="5" t="inlineStr">
        <is>
          <t>Blender</t>
        </is>
      </c>
      <c r="G11" s="5" t="inlineStr">
        <is>
          <t>Appliances</t>
        </is>
      </c>
      <c r="H11" s="5" t="n">
        <v>3</v>
      </c>
      <c r="I11" s="42" t="n">
        <v>59.99</v>
      </c>
      <c r="J11" s="5" t="inlineStr">
        <is>
          <t>Cash</t>
        </is>
      </c>
      <c r="K11" s="5" t="inlineStr">
        <is>
          <t>West</t>
        </is>
      </c>
      <c r="L11" s="5" t="inlineStr">
        <is>
          <t>Premium</t>
        </is>
      </c>
      <c r="M11" s="29" t="n">
        <v>45207</v>
      </c>
      <c r="N11" s="42" t="n">
        <v>179.97</v>
      </c>
      <c r="O11" s="0">
        <f>TEXT(B11,"yyyy-mm")</f>
        <v/>
      </c>
      <c r="P11" s="43">
        <f>DATEDIF(M11,TODAY(),"Y")</f>
        <v/>
      </c>
      <c r="Q11" s="0">
        <f>UPPER(LEFT(D11,1)&amp;MID(D11,FIND(" ",D11)+1,1))</f>
        <v/>
      </c>
      <c r="R11" s="44">
        <f>N11*90%</f>
        <v/>
      </c>
      <c r="S11" s="18">
        <f>NOW()</f>
        <v/>
      </c>
    </row>
    <row r="12">
      <c r="A12" s="5" t="inlineStr">
        <is>
          <t>TRX0138</t>
        </is>
      </c>
      <c r="B12" s="29" t="n">
        <v>45408</v>
      </c>
      <c r="C12" s="5" t="inlineStr">
        <is>
          <t>CUST022</t>
        </is>
      </c>
      <c r="D12" s="5" t="inlineStr">
        <is>
          <t>Susan Green</t>
        </is>
      </c>
      <c r="E12" s="5" t="inlineStr">
        <is>
          <t>P008</t>
        </is>
      </c>
      <c r="F12" s="5" t="inlineStr">
        <is>
          <t>Bookshelf</t>
        </is>
      </c>
      <c r="G12" s="5" t="inlineStr">
        <is>
          <t>Furniture</t>
        </is>
      </c>
      <c r="H12" s="5" t="n">
        <v>1</v>
      </c>
      <c r="I12" s="42" t="n">
        <v>149.99</v>
      </c>
      <c r="J12" s="5" t="inlineStr">
        <is>
          <t>Credit Card</t>
        </is>
      </c>
      <c r="K12" s="5" t="inlineStr">
        <is>
          <t>West</t>
        </is>
      </c>
      <c r="L12" s="5" t="inlineStr">
        <is>
          <t>Standard</t>
        </is>
      </c>
      <c r="M12" s="29" t="n">
        <v>45103</v>
      </c>
      <c r="N12" s="42" t="n">
        <v>149.99</v>
      </c>
      <c r="O12" s="0">
        <f>TEXT(B12,"yyyy-mm")</f>
        <v/>
      </c>
      <c r="P12" s="43">
        <f>DATEDIF(M12,TODAY(),"Y")</f>
        <v/>
      </c>
      <c r="Q12" s="0">
        <f>UPPER(LEFT(D12,1)&amp;MID(D12,FIND(" ",D12)+1,1))</f>
        <v/>
      </c>
      <c r="R12" s="44">
        <f>N12*90%</f>
        <v/>
      </c>
      <c r="S12" s="18">
        <f>NOW()</f>
        <v/>
      </c>
    </row>
    <row r="13">
      <c r="A13" s="5" t="inlineStr">
        <is>
          <t>TRX0209</t>
        </is>
      </c>
      <c r="B13" s="29" t="n">
        <v>45408</v>
      </c>
      <c r="C13" s="5" t="inlineStr">
        <is>
          <t>CUST046</t>
        </is>
      </c>
      <c r="D13" s="5" t="inlineStr">
        <is>
          <t>Kathleen Bennett</t>
        </is>
      </c>
      <c r="E13" s="5" t="inlineStr">
        <is>
          <t>P008</t>
        </is>
      </c>
      <c r="F13" s="5" t="inlineStr">
        <is>
          <t>Bookshelf</t>
        </is>
      </c>
      <c r="G13" s="5" t="inlineStr">
        <is>
          <t>Furniture</t>
        </is>
      </c>
      <c r="H13" s="5" t="n">
        <v>5</v>
      </c>
      <c r="I13" s="42" t="n">
        <v>149.99</v>
      </c>
      <c r="J13" s="5" t="inlineStr">
        <is>
          <t>Debit Card</t>
        </is>
      </c>
      <c r="K13" s="5" t="inlineStr">
        <is>
          <t>North</t>
        </is>
      </c>
      <c r="L13" s="5" t="inlineStr">
        <is>
          <t>Basic</t>
        </is>
      </c>
      <c r="M13" s="29" t="n">
        <v>44830</v>
      </c>
      <c r="N13" s="42" t="n">
        <v>749.95</v>
      </c>
      <c r="O13" s="0">
        <f>TEXT(B13,"yyyy-mm")</f>
        <v/>
      </c>
      <c r="P13" s="43">
        <f>DATEDIF(M13,TODAY(),"Y")</f>
        <v/>
      </c>
      <c r="Q13" s="0">
        <f>UPPER(LEFT(D13,1)&amp;MID(D13,FIND(" ",D13)+1,1))</f>
        <v/>
      </c>
      <c r="R13" s="44">
        <f>N13*90%</f>
        <v/>
      </c>
      <c r="S13" s="18">
        <f>NOW()</f>
        <v/>
      </c>
    </row>
    <row r="14">
      <c r="A14" s="5" t="inlineStr">
        <is>
          <t>TRX0246</t>
        </is>
      </c>
      <c r="B14" s="29" t="n">
        <v>45408</v>
      </c>
      <c r="C14" s="5" t="inlineStr">
        <is>
          <t>CUST041</t>
        </is>
      </c>
      <c r="D14" s="5" t="inlineStr">
        <is>
          <t>Peter Richardson</t>
        </is>
      </c>
      <c r="E14" s="5" t="inlineStr">
        <is>
          <t>P008</t>
        </is>
      </c>
      <c r="F14" s="5" t="inlineStr">
        <is>
          <t>Bookshelf</t>
        </is>
      </c>
      <c r="G14" s="5" t="inlineStr">
        <is>
          <t>Furniture</t>
        </is>
      </c>
      <c r="H14" s="5" t="n">
        <v>3</v>
      </c>
      <c r="I14" s="42" t="n">
        <v>149.99</v>
      </c>
      <c r="J14" s="5" t="inlineStr">
        <is>
          <t>Cash</t>
        </is>
      </c>
      <c r="K14" s="5" t="inlineStr">
        <is>
          <t>North</t>
        </is>
      </c>
      <c r="L14" s="5" t="inlineStr">
        <is>
          <t>Premium</t>
        </is>
      </c>
      <c r="M14" s="29" t="n">
        <v>44806</v>
      </c>
      <c r="N14" s="42" t="n">
        <v>449.97</v>
      </c>
      <c r="O14" s="0">
        <f>TEXT(B14,"yyyy-mm")</f>
        <v/>
      </c>
      <c r="P14" s="43">
        <f>DATEDIF(M14,TODAY(),"Y")</f>
        <v/>
      </c>
      <c r="Q14" s="0">
        <f>UPPER(LEFT(D14,1)&amp;MID(D14,FIND(" ",D14)+1,1))</f>
        <v/>
      </c>
      <c r="R14" s="44">
        <f>N14*90%</f>
        <v/>
      </c>
      <c r="S14" s="18">
        <f>NOW()</f>
        <v/>
      </c>
    </row>
    <row r="15">
      <c r="A15" s="5" t="inlineStr">
        <is>
          <t>TRX0067</t>
        </is>
      </c>
      <c r="B15" s="29" t="n">
        <v>45409</v>
      </c>
      <c r="C15" s="5" t="inlineStr">
        <is>
          <t>CUST043</t>
        </is>
      </c>
      <c r="D15" s="5" t="inlineStr">
        <is>
          <t>Dennis Gray</t>
        </is>
      </c>
      <c r="E15" s="5" t="inlineStr">
        <is>
          <t>P005</t>
        </is>
      </c>
      <c r="F15" s="5" t="inlineStr">
        <is>
          <t>Blender</t>
        </is>
      </c>
      <c r="G15" s="5" t="inlineStr">
        <is>
          <t>Appliances</t>
        </is>
      </c>
      <c r="H15" s="5" t="n">
        <v>3</v>
      </c>
      <c r="I15" s="42" t="n">
        <v>59.99</v>
      </c>
      <c r="J15" s="5" t="inlineStr">
        <is>
          <t>Credit Card</t>
        </is>
      </c>
      <c r="K15" s="5" t="inlineStr">
        <is>
          <t>North</t>
        </is>
      </c>
      <c r="L15" s="5" t="inlineStr">
        <is>
          <t>Standard</t>
        </is>
      </c>
      <c r="M15" s="29" t="n">
        <v>45351</v>
      </c>
      <c r="N15" s="42" t="n">
        <v>179.97</v>
      </c>
      <c r="O15" s="0">
        <f>TEXT(B15,"yyyy-mm")</f>
        <v/>
      </c>
      <c r="P15" s="43">
        <f>DATEDIF(M15,TODAY(),"Y")</f>
        <v/>
      </c>
      <c r="Q15" s="0">
        <f>UPPER(LEFT(D15,1)&amp;MID(D15,FIND(" ",D15)+1,1))</f>
        <v/>
      </c>
      <c r="R15" s="44">
        <f>N15*90%</f>
        <v/>
      </c>
      <c r="S15" s="18">
        <f>NOW()</f>
        <v/>
      </c>
    </row>
    <row r="16">
      <c r="A16" s="5" t="inlineStr">
        <is>
          <t>TRX0191</t>
        </is>
      </c>
      <c r="B16" s="29" t="n">
        <v>45409</v>
      </c>
      <c r="C16" s="5" t="inlineStr">
        <is>
          <t>CUST038</t>
        </is>
      </c>
      <c r="D16" s="5" t="inlineStr">
        <is>
          <t>Michelle Rogers</t>
        </is>
      </c>
      <c r="E16" s="5" t="inlineStr">
        <is>
          <t>P002</t>
        </is>
      </c>
      <c r="F16" s="5" t="inlineStr">
        <is>
          <t>Smartphone</t>
        </is>
      </c>
      <c r="G16" s="5" t="inlineStr">
        <is>
          <t>Electronics</t>
        </is>
      </c>
      <c r="H16" s="5" t="n">
        <v>3</v>
      </c>
      <c r="I16" s="42" t="n">
        <v>699.99</v>
      </c>
      <c r="J16" s="5" t="inlineStr">
        <is>
          <t>Credit Card</t>
        </is>
      </c>
      <c r="K16" s="5" t="inlineStr">
        <is>
          <t>West</t>
        </is>
      </c>
      <c r="L16" s="5" t="inlineStr">
        <is>
          <t>Basic</t>
        </is>
      </c>
      <c r="M16" s="29" t="n">
        <v>44577</v>
      </c>
      <c r="N16" s="42" t="n">
        <v>2099.97</v>
      </c>
      <c r="O16" s="0">
        <f>TEXT(B16,"yyyy-mm")</f>
        <v/>
      </c>
      <c r="P16" s="43">
        <f>DATEDIF(M16,TODAY(),"Y")</f>
        <v/>
      </c>
      <c r="Q16" s="0">
        <f>UPPER(LEFT(D16,1)&amp;MID(D16,FIND(" ",D16)+1,1))</f>
        <v/>
      </c>
      <c r="R16" s="44">
        <f>N16*90%</f>
        <v/>
      </c>
      <c r="S16" s="18">
        <f>NOW()</f>
        <v/>
      </c>
    </row>
    <row r="17">
      <c r="A17" s="5" t="inlineStr">
        <is>
          <t>TRX0230</t>
        </is>
      </c>
      <c r="B17" s="29" t="n">
        <v>45409</v>
      </c>
      <c r="C17" s="5" t="inlineStr">
        <is>
          <t>CUST027</t>
        </is>
      </c>
      <c r="D17" s="5" t="inlineStr">
        <is>
          <t>George Adams</t>
        </is>
      </c>
      <c r="E17" s="5" t="inlineStr">
        <is>
          <t>P001</t>
        </is>
      </c>
      <c r="F17" s="5" t="inlineStr">
        <is>
          <t>Laptop</t>
        </is>
      </c>
      <c r="G17" s="5" t="inlineStr">
        <is>
          <t>Electronics</t>
        </is>
      </c>
      <c r="H17" s="5" t="n">
        <v>1</v>
      </c>
      <c r="I17" s="42" t="n">
        <v>899.99</v>
      </c>
      <c r="J17" s="5" t="inlineStr">
        <is>
          <t>Debit Card</t>
        </is>
      </c>
      <c r="K17" s="5" t="inlineStr">
        <is>
          <t>North</t>
        </is>
      </c>
      <c r="L17" s="5" t="inlineStr">
        <is>
          <t>Standard</t>
        </is>
      </c>
      <c r="M17" s="29" t="n">
        <v>44920</v>
      </c>
      <c r="N17" s="42" t="n">
        <v>899.99</v>
      </c>
      <c r="O17" s="0">
        <f>TEXT(B17,"yyyy-mm")</f>
        <v/>
      </c>
      <c r="P17" s="43">
        <f>DATEDIF(M17,TODAY(),"Y")</f>
        <v/>
      </c>
      <c r="Q17" s="0">
        <f>UPPER(LEFT(D17,1)&amp;MID(D17,FIND(" ",D17)+1,1))</f>
        <v/>
      </c>
      <c r="R17" s="44">
        <f>N17*90%</f>
        <v/>
      </c>
      <c r="S17" s="18">
        <f>NOW()</f>
        <v/>
      </c>
    </row>
    <row r="18">
      <c r="A18" s="5" t="inlineStr">
        <is>
          <t>TRX0049</t>
        </is>
      </c>
      <c r="B18" s="29" t="n">
        <v>45410</v>
      </c>
      <c r="C18" s="5" t="inlineStr">
        <is>
          <t>CUST025</t>
        </is>
      </c>
      <c r="D18" s="5" t="inlineStr">
        <is>
          <t>Mark Carter</t>
        </is>
      </c>
      <c r="E18" s="5" t="inlineStr">
        <is>
          <t>P008</t>
        </is>
      </c>
      <c r="F18" s="5" t="inlineStr">
        <is>
          <t>Bookshelf</t>
        </is>
      </c>
      <c r="G18" s="5" t="inlineStr">
        <is>
          <t>Furniture</t>
        </is>
      </c>
      <c r="H18" s="5" t="n">
        <v>4</v>
      </c>
      <c r="I18" s="42" t="n">
        <v>149.99</v>
      </c>
      <c r="J18" s="5" t="inlineStr">
        <is>
          <t>Debit Card</t>
        </is>
      </c>
      <c r="K18" s="5" t="inlineStr">
        <is>
          <t>North</t>
        </is>
      </c>
      <c r="L18" s="5" t="inlineStr">
        <is>
          <t>Premium</t>
        </is>
      </c>
      <c r="M18" s="29" t="n">
        <v>45374</v>
      </c>
      <c r="N18" s="42" t="n">
        <v>599.96</v>
      </c>
      <c r="O18" s="0">
        <f>TEXT(B18,"yyyy-mm")</f>
        <v/>
      </c>
      <c r="P18" s="43">
        <f>DATEDIF(M18,TODAY(),"Y")</f>
        <v/>
      </c>
      <c r="Q18" s="0">
        <f>UPPER(LEFT(D18,1)&amp;MID(D18,FIND(" ",D18)+1,1))</f>
        <v/>
      </c>
      <c r="R18" s="44">
        <f>N18*90%</f>
        <v/>
      </c>
      <c r="S18" s="18">
        <f>NOW()</f>
        <v/>
      </c>
    </row>
    <row r="19">
      <c r="A19" s="5" t="inlineStr">
        <is>
          <t>TRX0134</t>
        </is>
      </c>
      <c r="B19" s="29" t="n">
        <v>45410</v>
      </c>
      <c r="C19" s="5" t="inlineStr">
        <is>
          <t>CUST010</t>
        </is>
      </c>
      <c r="D19" s="5" t="inlineStr">
        <is>
          <t>Maria Garcia</t>
        </is>
      </c>
      <c r="E19" s="5" t="inlineStr">
        <is>
          <t>P002</t>
        </is>
      </c>
      <c r="F19" s="5" t="inlineStr">
        <is>
          <t>Smartphone</t>
        </is>
      </c>
      <c r="G19" s="5" t="inlineStr">
        <is>
          <t>Electronics</t>
        </is>
      </c>
      <c r="H19" s="5" t="n">
        <v>2</v>
      </c>
      <c r="I19" s="42" t="n">
        <v>699.99</v>
      </c>
      <c r="J19" s="5" t="inlineStr">
        <is>
          <t>Cash</t>
        </is>
      </c>
      <c r="K19" s="5" t="inlineStr">
        <is>
          <t>North</t>
        </is>
      </c>
      <c r="L19" s="5" t="inlineStr">
        <is>
          <t>Basic</t>
        </is>
      </c>
      <c r="M19" s="29" t="n">
        <v>44781</v>
      </c>
      <c r="N19" s="42" t="n">
        <v>1399.98</v>
      </c>
      <c r="O19" s="0">
        <f>TEXT(B19,"yyyy-mm")</f>
        <v/>
      </c>
      <c r="P19" s="43">
        <f>DATEDIF(M19,TODAY(),"Y")</f>
        <v/>
      </c>
      <c r="Q19" s="0">
        <f>UPPER(LEFT(D19,1)&amp;MID(D19,FIND(" ",D19)+1,1))</f>
        <v/>
      </c>
      <c r="R19" s="44">
        <f>N19*90%</f>
        <v/>
      </c>
      <c r="S19" s="18">
        <f>NOW()</f>
        <v/>
      </c>
    </row>
    <row r="20">
      <c r="A20" s="5" t="inlineStr">
        <is>
          <t>TRX0122</t>
        </is>
      </c>
      <c r="B20" s="29" t="n">
        <v>45410</v>
      </c>
      <c r="C20" s="5" t="inlineStr">
        <is>
          <t>CUST025</t>
        </is>
      </c>
      <c r="D20" s="5" t="inlineStr">
        <is>
          <t>Mark Carter</t>
        </is>
      </c>
      <c r="E20" s="5" t="inlineStr">
        <is>
          <t>P001</t>
        </is>
      </c>
      <c r="F20" s="5" t="inlineStr">
        <is>
          <t>Laptop</t>
        </is>
      </c>
      <c r="G20" s="5" t="inlineStr">
        <is>
          <t>Electronics</t>
        </is>
      </c>
      <c r="H20" s="5" t="n">
        <v>4</v>
      </c>
      <c r="I20" s="42" t="n">
        <v>899.99</v>
      </c>
      <c r="J20" s="5" t="inlineStr">
        <is>
          <t>Credit Card</t>
        </is>
      </c>
      <c r="K20" s="5" t="inlineStr">
        <is>
          <t>West</t>
        </is>
      </c>
      <c r="L20" s="5" t="inlineStr">
        <is>
          <t>Standard</t>
        </is>
      </c>
      <c r="M20" s="29" t="n">
        <v>45327</v>
      </c>
      <c r="N20" s="42" t="n">
        <v>3599.96</v>
      </c>
      <c r="O20" s="0">
        <f>TEXT(B20,"yyyy-mm")</f>
        <v/>
      </c>
      <c r="P20" s="43">
        <f>DATEDIF(M20,TODAY(),"Y")</f>
        <v/>
      </c>
      <c r="Q20" s="0">
        <f>UPPER(LEFT(D20,1)&amp;MID(D20,FIND(" ",D20)+1,1))</f>
        <v/>
      </c>
      <c r="R20" s="44">
        <f>N20*90%</f>
        <v/>
      </c>
      <c r="S20" s="18">
        <f>NOW()</f>
        <v/>
      </c>
    </row>
    <row r="21" ht="15.75" customHeight="1" s="8">
      <c r="A21" s="5" t="inlineStr">
        <is>
          <t>TRX0222</t>
        </is>
      </c>
      <c r="B21" s="29" t="n">
        <v>45410</v>
      </c>
      <c r="C21" s="5" t="inlineStr">
        <is>
          <t>CUST048</t>
        </is>
      </c>
      <c r="D21" s="5" t="inlineStr">
        <is>
          <t>Virginia Sanders</t>
        </is>
      </c>
      <c r="E21" s="5" t="inlineStr">
        <is>
          <t>P009</t>
        </is>
      </c>
      <c r="F21" s="5" t="inlineStr">
        <is>
          <t>Monitor</t>
        </is>
      </c>
      <c r="G21" s="5" t="inlineStr">
        <is>
          <t>Electronics</t>
        </is>
      </c>
      <c r="H21" s="5" t="n">
        <v>3</v>
      </c>
      <c r="I21" s="42" t="n">
        <v>249.99</v>
      </c>
      <c r="J21" s="5" t="inlineStr">
        <is>
          <t>Credit Card</t>
        </is>
      </c>
      <c r="K21" s="5" t="inlineStr">
        <is>
          <t>North</t>
        </is>
      </c>
      <c r="L21" s="5" t="inlineStr">
        <is>
          <t>Premium</t>
        </is>
      </c>
      <c r="M21" s="29" t="n">
        <v>45224</v>
      </c>
      <c r="N21" s="42" t="n">
        <v>749.97</v>
      </c>
      <c r="O21" s="0">
        <f>TEXT(B21,"yyyy-mm")</f>
        <v/>
      </c>
      <c r="P21" s="43">
        <f>DATEDIF(M21,TODAY(),"Y")</f>
        <v/>
      </c>
      <c r="Q21" s="0">
        <f>UPPER(LEFT(D21,1)&amp;MID(D21,FIND(" ",D21)+1,1))</f>
        <v/>
      </c>
      <c r="R21" s="44">
        <f>N21*90%</f>
        <v/>
      </c>
      <c r="S21" s="18">
        <f>NOW()</f>
        <v/>
      </c>
    </row>
    <row r="22" ht="15.75" customHeight="1" s="8">
      <c r="A22" s="5" t="inlineStr">
        <is>
          <t>TRX0231</t>
        </is>
      </c>
      <c r="B22" s="29" t="n">
        <v>45412</v>
      </c>
      <c r="C22" s="5" t="inlineStr">
        <is>
          <t>CUST018</t>
        </is>
      </c>
      <c r="D22" s="5" t="inlineStr">
        <is>
          <t>Barbara Young</t>
        </is>
      </c>
      <c r="E22" s="5" t="inlineStr">
        <is>
          <t>P002</t>
        </is>
      </c>
      <c r="F22" s="5" t="inlineStr">
        <is>
          <t>Smartphone</t>
        </is>
      </c>
      <c r="G22" s="5" t="inlineStr">
        <is>
          <t>Electronics</t>
        </is>
      </c>
      <c r="H22" s="5" t="n">
        <v>5</v>
      </c>
      <c r="I22" s="42" t="n">
        <v>699.99</v>
      </c>
      <c r="J22" s="5" t="inlineStr">
        <is>
          <t>Cash</t>
        </is>
      </c>
      <c r="K22" s="5" t="inlineStr">
        <is>
          <t>West</t>
        </is>
      </c>
      <c r="L22" s="5" t="inlineStr">
        <is>
          <t>Basic</t>
        </is>
      </c>
      <c r="M22" s="29" t="n">
        <v>45167</v>
      </c>
      <c r="N22" s="42" t="n">
        <v>3499.95</v>
      </c>
      <c r="O22" s="0">
        <f>TEXT(B22,"yyyy-mm")</f>
        <v/>
      </c>
      <c r="P22" s="43">
        <f>DATEDIF(M22,TODAY(),"Y")</f>
        <v/>
      </c>
      <c r="Q22" s="0">
        <f>UPPER(LEFT(D22,1)&amp;MID(D22,FIND(" ",D22)+1,1))</f>
        <v/>
      </c>
      <c r="R22" s="44">
        <f>N22*90%</f>
        <v/>
      </c>
      <c r="S22" s="18">
        <f>NOW()</f>
        <v/>
      </c>
    </row>
    <row r="23" ht="15.75" customHeight="1" s="8">
      <c r="A23" s="5" t="inlineStr">
        <is>
          <t>TRX0239</t>
        </is>
      </c>
      <c r="B23" s="29" t="n">
        <v>45413</v>
      </c>
      <c r="C23" s="5" t="inlineStr">
        <is>
          <t>CUST012</t>
        </is>
      </c>
      <c r="D23" s="5" t="inlineStr">
        <is>
          <t>Patricia Moore</t>
        </is>
      </c>
      <c r="E23" s="5" t="inlineStr">
        <is>
          <t>P002</t>
        </is>
      </c>
      <c r="F23" s="5" t="inlineStr">
        <is>
          <t>Smartphone</t>
        </is>
      </c>
      <c r="G23" s="5" t="inlineStr">
        <is>
          <t>Electronics</t>
        </is>
      </c>
      <c r="H23" s="5" t="n">
        <v>4</v>
      </c>
      <c r="I23" s="42" t="n">
        <v>699.99</v>
      </c>
      <c r="J23" s="5" t="inlineStr">
        <is>
          <t>Cash</t>
        </is>
      </c>
      <c r="K23" s="5" t="inlineStr">
        <is>
          <t>East</t>
        </is>
      </c>
      <c r="L23" s="5" t="inlineStr">
        <is>
          <t>Standard</t>
        </is>
      </c>
      <c r="M23" s="29" t="n">
        <v>44409</v>
      </c>
      <c r="N23" s="42" t="n">
        <v>2799.96</v>
      </c>
      <c r="O23" s="0">
        <f>TEXT(B23,"yyyy-mm")</f>
        <v/>
      </c>
      <c r="P23" s="43">
        <f>DATEDIF(M23,TODAY(),"Y")</f>
        <v/>
      </c>
      <c r="Q23" s="0">
        <f>UPPER(LEFT(D23,1)&amp;MID(D23,FIND(" ",D23)+1,1))</f>
        <v/>
      </c>
      <c r="R23" s="44">
        <f>N23*90%</f>
        <v/>
      </c>
      <c r="S23" s="18">
        <f>NOW()</f>
        <v/>
      </c>
    </row>
    <row r="24" ht="15.75" customHeight="1" s="8">
      <c r="A24" s="5" t="inlineStr">
        <is>
          <t>TRX0204</t>
        </is>
      </c>
      <c r="B24" s="29" t="n">
        <v>45415</v>
      </c>
      <c r="C24" s="5" t="inlineStr">
        <is>
          <t>CUST044</t>
        </is>
      </c>
      <c r="D24" s="5" t="inlineStr">
        <is>
          <t>Cynthia Price</t>
        </is>
      </c>
      <c r="E24" s="5" t="inlineStr">
        <is>
          <t>P009</t>
        </is>
      </c>
      <c r="F24" s="5" t="inlineStr">
        <is>
          <t>Monitor</t>
        </is>
      </c>
      <c r="G24" s="5" t="inlineStr">
        <is>
          <t>Electronics</t>
        </is>
      </c>
      <c r="H24" s="5" t="n">
        <v>4</v>
      </c>
      <c r="I24" s="42" t="n">
        <v>249.99</v>
      </c>
      <c r="J24" s="5" t="inlineStr">
        <is>
          <t>PayPal</t>
        </is>
      </c>
      <c r="K24" s="5" t="inlineStr">
        <is>
          <t>North</t>
        </is>
      </c>
      <c r="L24" s="5" t="inlineStr">
        <is>
          <t>Standard</t>
        </is>
      </c>
      <c r="M24" s="29" t="n">
        <v>44468</v>
      </c>
      <c r="N24" s="42" t="n">
        <v>999.96</v>
      </c>
      <c r="O24" s="0">
        <f>TEXT(B24,"yyyy-mm")</f>
        <v/>
      </c>
      <c r="P24" s="43">
        <f>DATEDIF(M24,TODAY(),"Y")</f>
        <v/>
      </c>
      <c r="Q24" s="0">
        <f>UPPER(LEFT(D24,1)&amp;MID(D24,FIND(" ",D24)+1,1))</f>
        <v/>
      </c>
      <c r="R24" s="44">
        <f>N24*90%</f>
        <v/>
      </c>
      <c r="S24" s="18">
        <f>NOW()</f>
        <v/>
      </c>
    </row>
    <row r="25" ht="15.75" customHeight="1" s="8">
      <c r="A25" s="5" t="inlineStr">
        <is>
          <t>TRX0242</t>
        </is>
      </c>
      <c r="B25" s="29" t="n">
        <v>45416</v>
      </c>
      <c r="C25" s="5" t="inlineStr">
        <is>
          <t>CUST025</t>
        </is>
      </c>
      <c r="D25" s="5" t="inlineStr">
        <is>
          <t>Mark Carter</t>
        </is>
      </c>
      <c r="E25" s="5" t="inlineStr">
        <is>
          <t>P007</t>
        </is>
      </c>
      <c r="F25" s="5" t="inlineStr">
        <is>
          <t>Desk</t>
        </is>
      </c>
      <c r="G25" s="5" t="inlineStr">
        <is>
          <t>Furniture</t>
        </is>
      </c>
      <c r="H25" s="5" t="n">
        <v>4</v>
      </c>
      <c r="I25" s="42" t="n">
        <v>299.99</v>
      </c>
      <c r="J25" s="5" t="inlineStr">
        <is>
          <t>Cash</t>
        </is>
      </c>
      <c r="K25" s="5" t="inlineStr">
        <is>
          <t>West</t>
        </is>
      </c>
      <c r="L25" s="5" t="inlineStr">
        <is>
          <t>Premium</t>
        </is>
      </c>
      <c r="M25" s="29" t="n">
        <v>44716</v>
      </c>
      <c r="N25" s="42" t="n">
        <v>1199.96</v>
      </c>
      <c r="O25" s="0">
        <f>TEXT(B25,"yyyy-mm")</f>
        <v/>
      </c>
      <c r="P25" s="43">
        <f>DATEDIF(M25,TODAY(),"Y")</f>
        <v/>
      </c>
      <c r="Q25" s="0">
        <f>UPPER(LEFT(D25,1)&amp;MID(D25,FIND(" ",D25)+1,1))</f>
        <v/>
      </c>
      <c r="R25" s="44">
        <f>N25*90%</f>
        <v/>
      </c>
      <c r="S25" s="18">
        <f>NOW()</f>
        <v/>
      </c>
    </row>
    <row r="26" ht="15.75" customHeight="1" s="8">
      <c r="A26" s="5" t="inlineStr">
        <is>
          <t>TRX0071</t>
        </is>
      </c>
      <c r="B26" s="29" t="n">
        <v>45422</v>
      </c>
      <c r="C26" s="5" t="inlineStr">
        <is>
          <t>CUST036</t>
        </is>
      </c>
      <c r="D26" s="5" t="inlineStr">
        <is>
          <t>Nancy Collins</t>
        </is>
      </c>
      <c r="E26" s="5" t="inlineStr">
        <is>
          <t>P009</t>
        </is>
      </c>
      <c r="F26" s="5" t="inlineStr">
        <is>
          <t>Monitor</t>
        </is>
      </c>
      <c r="G26" s="5" t="inlineStr">
        <is>
          <t>Electronics</t>
        </is>
      </c>
      <c r="H26" s="5" t="n">
        <v>5</v>
      </c>
      <c r="I26" s="42" t="n">
        <v>249.99</v>
      </c>
      <c r="J26" s="5" t="inlineStr">
        <is>
          <t>Credit Card</t>
        </is>
      </c>
      <c r="K26" s="5" t="inlineStr">
        <is>
          <t>West</t>
        </is>
      </c>
      <c r="L26" s="5" t="inlineStr">
        <is>
          <t>Standard</t>
        </is>
      </c>
      <c r="M26" s="29" t="n">
        <v>44525</v>
      </c>
      <c r="N26" s="42" t="n">
        <v>1249.95</v>
      </c>
      <c r="O26" s="0">
        <f>TEXT(B26,"yyyy-mm")</f>
        <v/>
      </c>
      <c r="P26" s="43">
        <f>DATEDIF(M26,TODAY(),"Y")</f>
        <v/>
      </c>
      <c r="Q26" s="0">
        <f>UPPER(LEFT(D26,1)&amp;MID(D26,FIND(" ",D26)+1,1))</f>
        <v/>
      </c>
      <c r="R26" s="44">
        <f>N26*90%</f>
        <v/>
      </c>
      <c r="S26" s="18">
        <f>NOW()</f>
        <v/>
      </c>
    </row>
    <row r="27" ht="15.75" customHeight="1" s="8">
      <c r="A27" s="5" t="inlineStr">
        <is>
          <t>TRX0040</t>
        </is>
      </c>
      <c r="B27" s="29" t="n">
        <v>45424</v>
      </c>
      <c r="C27" s="5" t="inlineStr">
        <is>
          <t>CUST022</t>
        </is>
      </c>
      <c r="D27" s="5" t="inlineStr">
        <is>
          <t>Susan Green</t>
        </is>
      </c>
      <c r="E27" s="5" t="inlineStr">
        <is>
          <t>P007</t>
        </is>
      </c>
      <c r="F27" s="5" t="inlineStr">
        <is>
          <t>Desk</t>
        </is>
      </c>
      <c r="G27" s="5" t="inlineStr">
        <is>
          <t>Furniture</t>
        </is>
      </c>
      <c r="H27" s="5" t="n">
        <v>5</v>
      </c>
      <c r="I27" s="42" t="n">
        <v>299.99</v>
      </c>
      <c r="J27" s="5" t="inlineStr">
        <is>
          <t>PayPal</t>
        </is>
      </c>
      <c r="K27" s="5" t="inlineStr">
        <is>
          <t>East</t>
        </is>
      </c>
      <c r="L27" s="5" t="inlineStr">
        <is>
          <t>Basic</t>
        </is>
      </c>
      <c r="M27" s="29" t="n">
        <v>45168</v>
      </c>
      <c r="N27" s="42" t="n">
        <v>1499.95</v>
      </c>
      <c r="O27" s="0">
        <f>TEXT(B27,"yyyy-mm")</f>
        <v/>
      </c>
      <c r="P27" s="43">
        <f>DATEDIF(M27,TODAY(),"Y")</f>
        <v/>
      </c>
      <c r="Q27" s="0">
        <f>UPPER(LEFT(D27,1)&amp;MID(D27,FIND(" ",D27)+1,1))</f>
        <v/>
      </c>
      <c r="R27" s="44">
        <f>N27*90%</f>
        <v/>
      </c>
      <c r="S27" s="18">
        <f>NOW()</f>
        <v/>
      </c>
    </row>
    <row r="28" ht="15.75" customHeight="1" s="8">
      <c r="A28" s="5" t="inlineStr">
        <is>
          <t>TRX0235</t>
        </is>
      </c>
      <c r="B28" s="29" t="n">
        <v>45424</v>
      </c>
      <c r="C28" s="5" t="inlineStr">
        <is>
          <t>CUST014</t>
        </is>
      </c>
      <c r="D28" s="5" t="inlineStr">
        <is>
          <t>Linda Martin</t>
        </is>
      </c>
      <c r="E28" s="5" t="inlineStr">
        <is>
          <t>P004</t>
        </is>
      </c>
      <c r="F28" s="5" t="inlineStr">
        <is>
          <t>Coffee Maker</t>
        </is>
      </c>
      <c r="G28" s="5" t="inlineStr">
        <is>
          <t>Appliances</t>
        </is>
      </c>
      <c r="H28" s="5" t="n">
        <v>3</v>
      </c>
      <c r="I28" s="42" t="n">
        <v>79.98999999999999</v>
      </c>
      <c r="J28" s="5" t="inlineStr">
        <is>
          <t>PayPal</t>
        </is>
      </c>
      <c r="K28" s="5" t="inlineStr">
        <is>
          <t>East</t>
        </is>
      </c>
      <c r="L28" s="5" t="inlineStr">
        <is>
          <t>Premium</t>
        </is>
      </c>
      <c r="M28" s="29" t="n">
        <v>45012</v>
      </c>
      <c r="N28" s="42" t="n">
        <v>239.97</v>
      </c>
      <c r="O28" s="0">
        <f>TEXT(B28,"yyyy-mm")</f>
        <v/>
      </c>
      <c r="P28" s="43">
        <f>DATEDIF(M28,TODAY(),"Y")</f>
        <v/>
      </c>
      <c r="Q28" s="0">
        <f>UPPER(LEFT(D28,1)&amp;MID(D28,FIND(" ",D28)+1,1))</f>
        <v/>
      </c>
      <c r="R28" s="44">
        <f>N28*90%</f>
        <v/>
      </c>
      <c r="S28" s="18">
        <f>NOW()</f>
        <v/>
      </c>
    </row>
    <row r="29" ht="15.75" customHeight="1" s="8">
      <c r="A29" s="5" t="inlineStr">
        <is>
          <t>TRX0004</t>
        </is>
      </c>
      <c r="B29" s="29" t="n">
        <v>45424</v>
      </c>
      <c r="C29" s="5" t="inlineStr">
        <is>
          <t>CUST012</t>
        </is>
      </c>
      <c r="D29" s="5" t="inlineStr">
        <is>
          <t>Patricia Moore</t>
        </is>
      </c>
      <c r="E29" s="5" t="inlineStr">
        <is>
          <t>P010</t>
        </is>
      </c>
      <c r="F29" s="5" t="inlineStr">
        <is>
          <t>Keyboard</t>
        </is>
      </c>
      <c r="G29" s="5" t="inlineStr">
        <is>
          <t>Electronics</t>
        </is>
      </c>
      <c r="H29" s="5" t="n">
        <v>5</v>
      </c>
      <c r="I29" s="42" t="n">
        <v>89.98999999999999</v>
      </c>
      <c r="J29" s="5" t="inlineStr">
        <is>
          <t>Cash</t>
        </is>
      </c>
      <c r="K29" s="5" t="inlineStr">
        <is>
          <t>North</t>
        </is>
      </c>
      <c r="L29" s="5" t="inlineStr">
        <is>
          <t>Premium</t>
        </is>
      </c>
      <c r="M29" s="29" t="n">
        <v>44919</v>
      </c>
      <c r="N29" s="42" t="n">
        <v>449.95</v>
      </c>
      <c r="O29" s="0">
        <f>TEXT(B29,"yyyy-mm")</f>
        <v/>
      </c>
      <c r="P29" s="43">
        <f>DATEDIF(M29,TODAY(),"Y")</f>
        <v/>
      </c>
      <c r="Q29" s="0">
        <f>UPPER(LEFT(D29,1)&amp;MID(D29,FIND(" ",D29)+1,1))</f>
        <v/>
      </c>
      <c r="R29" s="44">
        <f>N29*90%</f>
        <v/>
      </c>
      <c r="S29" s="18">
        <f>NOW()</f>
        <v/>
      </c>
    </row>
    <row r="30" ht="15.75" customHeight="1" s="8">
      <c r="A30" s="5" t="inlineStr">
        <is>
          <t>TRX0063</t>
        </is>
      </c>
      <c r="B30" s="29" t="n">
        <v>45425</v>
      </c>
      <c r="C30" s="5" t="inlineStr">
        <is>
          <t>CUST030</t>
        </is>
      </c>
      <c r="D30" s="5" t="inlineStr">
        <is>
          <t>Helen Roberts</t>
        </is>
      </c>
      <c r="E30" s="5" t="inlineStr">
        <is>
          <t>P005</t>
        </is>
      </c>
      <c r="F30" s="5" t="inlineStr">
        <is>
          <t>Blender</t>
        </is>
      </c>
      <c r="G30" s="5" t="inlineStr">
        <is>
          <t>Appliances</t>
        </is>
      </c>
      <c r="H30" s="5" t="n">
        <v>2</v>
      </c>
      <c r="I30" s="42" t="n">
        <v>59.99</v>
      </c>
      <c r="J30" s="5" t="inlineStr">
        <is>
          <t>Debit Card</t>
        </is>
      </c>
      <c r="K30" s="5" t="inlineStr">
        <is>
          <t>Central</t>
        </is>
      </c>
      <c r="L30" s="5" t="inlineStr">
        <is>
          <t>Standard</t>
        </is>
      </c>
      <c r="M30" s="29" t="n">
        <v>45214</v>
      </c>
      <c r="N30" s="42" t="n">
        <v>119.98</v>
      </c>
      <c r="O30" s="0">
        <f>TEXT(B30,"yyyy-mm")</f>
        <v/>
      </c>
      <c r="P30" s="43">
        <f>DATEDIF(M30,TODAY(),"Y")</f>
        <v/>
      </c>
      <c r="Q30" s="0">
        <f>UPPER(LEFT(D30,1)&amp;MID(D30,FIND(" ",D30)+1,1))</f>
        <v/>
      </c>
      <c r="R30" s="44">
        <f>N30*90%</f>
        <v/>
      </c>
      <c r="S30" s="18">
        <f>NOW()</f>
        <v/>
      </c>
    </row>
    <row r="31" ht="15.75" customHeight="1" s="8">
      <c r="A31" s="5" t="inlineStr">
        <is>
          <t>TRX0241</t>
        </is>
      </c>
      <c r="B31" s="29" t="n">
        <v>45427</v>
      </c>
      <c r="C31" s="5" t="inlineStr">
        <is>
          <t>CUST029</t>
        </is>
      </c>
      <c r="D31" s="5" t="inlineStr">
        <is>
          <t>Edward Mitchell</t>
        </is>
      </c>
      <c r="E31" s="5" t="inlineStr">
        <is>
          <t>P005</t>
        </is>
      </c>
      <c r="F31" s="5" t="inlineStr">
        <is>
          <t>Blender</t>
        </is>
      </c>
      <c r="G31" s="5" t="inlineStr">
        <is>
          <t>Appliances</t>
        </is>
      </c>
      <c r="H31" s="5" t="n">
        <v>4</v>
      </c>
      <c r="I31" s="42" t="n">
        <v>59.99</v>
      </c>
      <c r="J31" s="5" t="inlineStr">
        <is>
          <t>Debit Card</t>
        </is>
      </c>
      <c r="K31" s="5" t="inlineStr">
        <is>
          <t>East</t>
        </is>
      </c>
      <c r="L31" s="5" t="inlineStr">
        <is>
          <t>Standard</t>
        </is>
      </c>
      <c r="M31" s="29" t="n">
        <v>44867</v>
      </c>
      <c r="N31" s="42" t="n">
        <v>239.96</v>
      </c>
      <c r="O31" s="0">
        <f>TEXT(B31,"yyyy-mm")</f>
        <v/>
      </c>
      <c r="P31" s="43">
        <f>DATEDIF(M31,TODAY(),"Y")</f>
        <v/>
      </c>
      <c r="Q31" s="0">
        <f>UPPER(LEFT(D31,1)&amp;MID(D31,FIND(" ",D31)+1,1))</f>
        <v/>
      </c>
      <c r="R31" s="44">
        <f>N31*90%</f>
        <v/>
      </c>
      <c r="S31" s="18">
        <f>NOW()</f>
        <v/>
      </c>
    </row>
    <row r="32" ht="15.75" customHeight="1" s="8">
      <c r="A32" s="5" t="inlineStr">
        <is>
          <t>TRX0029</t>
        </is>
      </c>
      <c r="B32" s="29" t="n">
        <v>45427</v>
      </c>
      <c r="C32" s="5" t="inlineStr">
        <is>
          <t>CUST017</t>
        </is>
      </c>
      <c r="D32" s="5" t="inlineStr">
        <is>
          <t>Charles Allen</t>
        </is>
      </c>
      <c r="E32" s="5" t="inlineStr">
        <is>
          <t>P006</t>
        </is>
      </c>
      <c r="F32" s="5" t="inlineStr">
        <is>
          <t>Office Chair</t>
        </is>
      </c>
      <c r="G32" s="5" t="inlineStr">
        <is>
          <t>Furniture</t>
        </is>
      </c>
      <c r="H32" s="5" t="n">
        <v>5</v>
      </c>
      <c r="I32" s="42" t="n">
        <v>199.99</v>
      </c>
      <c r="J32" s="5" t="inlineStr">
        <is>
          <t>Cash</t>
        </is>
      </c>
      <c r="K32" s="5" t="inlineStr">
        <is>
          <t>South</t>
        </is>
      </c>
      <c r="L32" s="5" t="inlineStr">
        <is>
          <t>Standard</t>
        </is>
      </c>
      <c r="M32" s="29" t="n">
        <v>44412</v>
      </c>
      <c r="N32" s="42" t="n">
        <v>999.95</v>
      </c>
      <c r="O32" s="0">
        <f>TEXT(B32,"yyyy-mm")</f>
        <v/>
      </c>
      <c r="P32" s="43">
        <f>DATEDIF(M32,TODAY(),"Y")</f>
        <v/>
      </c>
      <c r="Q32" s="0">
        <f>UPPER(LEFT(D32,1)&amp;MID(D32,FIND(" ",D32)+1,1))</f>
        <v/>
      </c>
      <c r="R32" s="44">
        <f>N32*90%</f>
        <v/>
      </c>
      <c r="S32" s="18">
        <f>NOW()</f>
        <v/>
      </c>
    </row>
    <row r="33" ht="15.75" customHeight="1" s="8">
      <c r="A33" s="5" t="inlineStr">
        <is>
          <t>TRX0194</t>
        </is>
      </c>
      <c r="B33" s="29" t="n">
        <v>45428</v>
      </c>
      <c r="C33" s="5" t="inlineStr">
        <is>
          <t>CUST006</t>
        </is>
      </c>
      <c r="D33" s="5" t="inlineStr">
        <is>
          <t>Lisa Anderson</t>
        </is>
      </c>
      <c r="E33" s="5" t="inlineStr">
        <is>
          <t>P008</t>
        </is>
      </c>
      <c r="F33" s="5" t="inlineStr">
        <is>
          <t>Bookshelf</t>
        </is>
      </c>
      <c r="G33" s="5" t="inlineStr">
        <is>
          <t>Furniture</t>
        </is>
      </c>
      <c r="H33" s="5" t="n">
        <v>2</v>
      </c>
      <c r="I33" s="42" t="n">
        <v>149.99</v>
      </c>
      <c r="J33" s="5" t="inlineStr">
        <is>
          <t>Credit Card</t>
        </is>
      </c>
      <c r="K33" s="5" t="inlineStr">
        <is>
          <t>West</t>
        </is>
      </c>
      <c r="L33" s="5" t="inlineStr">
        <is>
          <t>Basic</t>
        </is>
      </c>
      <c r="M33" s="29" t="n">
        <v>44823</v>
      </c>
      <c r="N33" s="42" t="n">
        <v>299.98</v>
      </c>
      <c r="O33" s="0">
        <f>TEXT(B33,"yyyy-mm")</f>
        <v/>
      </c>
      <c r="P33" s="43">
        <f>DATEDIF(M33,TODAY(),"Y")</f>
        <v/>
      </c>
      <c r="Q33" s="0">
        <f>UPPER(LEFT(D33,1)&amp;MID(D33,FIND(" ",D33)+1,1))</f>
        <v/>
      </c>
      <c r="R33" s="44">
        <f>N33*90%</f>
        <v/>
      </c>
      <c r="S33" s="18">
        <f>NOW()</f>
        <v/>
      </c>
    </row>
    <row r="34" ht="15.75" customHeight="1" s="8">
      <c r="A34" s="5" t="inlineStr">
        <is>
          <t>TRX0130</t>
        </is>
      </c>
      <c r="B34" s="29" t="n">
        <v>45430</v>
      </c>
      <c r="C34" s="5" t="inlineStr">
        <is>
          <t>CUST002</t>
        </is>
      </c>
      <c r="D34" s="5" t="inlineStr">
        <is>
          <t>Emma Wilson</t>
        </is>
      </c>
      <c r="E34" s="5" t="inlineStr">
        <is>
          <t>P008</t>
        </is>
      </c>
      <c r="F34" s="5" t="inlineStr">
        <is>
          <t>Bookshelf</t>
        </is>
      </c>
      <c r="G34" s="5" t="inlineStr">
        <is>
          <t>Furniture</t>
        </is>
      </c>
      <c r="H34" s="5" t="n">
        <v>3</v>
      </c>
      <c r="I34" s="42" t="n">
        <v>149.99</v>
      </c>
      <c r="J34" s="5" t="inlineStr">
        <is>
          <t>Credit Card</t>
        </is>
      </c>
      <c r="K34" s="5" t="inlineStr">
        <is>
          <t>West</t>
        </is>
      </c>
      <c r="L34" s="5" t="inlineStr">
        <is>
          <t>Premium</t>
        </is>
      </c>
      <c r="M34" s="29" t="n">
        <v>45068</v>
      </c>
      <c r="N34" s="42" t="n">
        <v>449.97</v>
      </c>
      <c r="O34" s="0">
        <f>TEXT(B34,"yyyy-mm")</f>
        <v/>
      </c>
      <c r="P34" s="43">
        <f>DATEDIF(M34,TODAY(),"Y")</f>
        <v/>
      </c>
      <c r="Q34" s="0">
        <f>UPPER(LEFT(D34,1)&amp;MID(D34,FIND(" ",D34)+1,1))</f>
        <v/>
      </c>
      <c r="R34" s="44">
        <f>N34*90%</f>
        <v/>
      </c>
      <c r="S34" s="18">
        <f>NOW()</f>
        <v/>
      </c>
    </row>
    <row r="35" ht="15.75" customHeight="1" s="8">
      <c r="A35" s="5" t="inlineStr">
        <is>
          <t>TRX0041</t>
        </is>
      </c>
      <c r="B35" s="29" t="n">
        <v>45432</v>
      </c>
      <c r="C35" s="5" t="inlineStr">
        <is>
          <t>CUST021</t>
        </is>
      </c>
      <c r="D35" s="5" t="inlineStr">
        <is>
          <t>Kevin Scott</t>
        </is>
      </c>
      <c r="E35" s="5" t="inlineStr">
        <is>
          <t>P001</t>
        </is>
      </c>
      <c r="F35" s="5" t="inlineStr">
        <is>
          <t>Laptop</t>
        </is>
      </c>
      <c r="G35" s="5" t="inlineStr">
        <is>
          <t>Electronics</t>
        </is>
      </c>
      <c r="H35" s="5" t="n">
        <v>1</v>
      </c>
      <c r="I35" s="42" t="n">
        <v>899.99</v>
      </c>
      <c r="J35" s="5" t="inlineStr">
        <is>
          <t>Credit Card</t>
        </is>
      </c>
      <c r="K35" s="5" t="inlineStr">
        <is>
          <t>West</t>
        </is>
      </c>
      <c r="L35" s="5" t="inlineStr">
        <is>
          <t>Premium</t>
        </is>
      </c>
      <c r="M35" s="29" t="n">
        <v>44578</v>
      </c>
      <c r="N35" s="42" t="n">
        <v>899.99</v>
      </c>
      <c r="O35" s="0">
        <f>TEXT(B35,"yyyy-mm")</f>
        <v/>
      </c>
      <c r="P35" s="43">
        <f>DATEDIF(M35,TODAY(),"Y")</f>
        <v/>
      </c>
      <c r="Q35" s="0">
        <f>UPPER(LEFT(D35,1)&amp;MID(D35,FIND(" ",D35)+1,1))</f>
        <v/>
      </c>
      <c r="R35" s="44">
        <f>N35*90%</f>
        <v/>
      </c>
      <c r="S35" s="18">
        <f>NOW()</f>
        <v/>
      </c>
    </row>
    <row r="36" ht="15.75" customHeight="1" s="8">
      <c r="A36" s="5" t="inlineStr">
        <is>
          <t>TRX0232</t>
        </is>
      </c>
      <c r="B36" s="29" t="n">
        <v>45434</v>
      </c>
      <c r="C36" s="5" t="inlineStr">
        <is>
          <t>CUST012</t>
        </is>
      </c>
      <c r="D36" s="5" t="inlineStr">
        <is>
          <t>Patricia Moore</t>
        </is>
      </c>
      <c r="E36" s="5" t="inlineStr">
        <is>
          <t>P007</t>
        </is>
      </c>
      <c r="F36" s="5" t="inlineStr">
        <is>
          <t>Desk</t>
        </is>
      </c>
      <c r="G36" s="5" t="inlineStr">
        <is>
          <t>Furniture</t>
        </is>
      </c>
      <c r="H36" s="5" t="n">
        <v>3</v>
      </c>
      <c r="I36" s="42" t="n">
        <v>299.99</v>
      </c>
      <c r="J36" s="5" t="inlineStr">
        <is>
          <t>Credit Card</t>
        </is>
      </c>
      <c r="K36" s="5" t="inlineStr">
        <is>
          <t>East</t>
        </is>
      </c>
      <c r="L36" s="5" t="inlineStr">
        <is>
          <t>Basic</t>
        </is>
      </c>
      <c r="M36" s="29" t="n">
        <v>44824</v>
      </c>
      <c r="N36" s="42" t="n">
        <v>899.97</v>
      </c>
      <c r="O36" s="0">
        <f>TEXT(B36,"yyyy-mm")</f>
        <v/>
      </c>
      <c r="P36" s="43">
        <f>DATEDIF(M36,TODAY(),"Y")</f>
        <v/>
      </c>
      <c r="Q36" s="0">
        <f>UPPER(LEFT(D36,1)&amp;MID(D36,FIND(" ",D36)+1,1))</f>
        <v/>
      </c>
      <c r="R36" s="44">
        <f>N36*90%</f>
        <v/>
      </c>
      <c r="S36" s="18">
        <f>NOW()</f>
        <v/>
      </c>
    </row>
    <row r="37" ht="15.75" customHeight="1" s="8">
      <c r="A37" s="5" t="inlineStr">
        <is>
          <t>TRX0021</t>
        </is>
      </c>
      <c r="B37" s="29" t="n">
        <v>45435</v>
      </c>
      <c r="C37" s="5" t="inlineStr">
        <is>
          <t>CUST006</t>
        </is>
      </c>
      <c r="D37" s="5" t="inlineStr">
        <is>
          <t>Lisa Anderson</t>
        </is>
      </c>
      <c r="E37" s="5" t="inlineStr">
        <is>
          <t>P004</t>
        </is>
      </c>
      <c r="F37" s="5" t="inlineStr">
        <is>
          <t>Coffee Maker</t>
        </is>
      </c>
      <c r="G37" s="5" t="inlineStr">
        <is>
          <t>Appliances</t>
        </is>
      </c>
      <c r="H37" s="5" t="n">
        <v>3</v>
      </c>
      <c r="I37" s="42" t="n">
        <v>79.98999999999999</v>
      </c>
      <c r="J37" s="5" t="inlineStr">
        <is>
          <t>Cash</t>
        </is>
      </c>
      <c r="K37" s="5" t="inlineStr">
        <is>
          <t>South</t>
        </is>
      </c>
      <c r="L37" s="5" t="inlineStr">
        <is>
          <t>Basic</t>
        </is>
      </c>
      <c r="M37" s="29" t="n">
        <v>45046</v>
      </c>
      <c r="N37" s="42" t="n">
        <v>239.97</v>
      </c>
      <c r="O37" s="0">
        <f>TEXT(B37,"yyyy-mm")</f>
        <v/>
      </c>
      <c r="P37" s="43">
        <f>DATEDIF(M37,TODAY(),"Y")</f>
        <v/>
      </c>
      <c r="Q37" s="0">
        <f>UPPER(LEFT(D37,1)&amp;MID(D37,FIND(" ",D37)+1,1))</f>
        <v/>
      </c>
      <c r="R37" s="44">
        <f>N37*90%</f>
        <v/>
      </c>
      <c r="S37" s="18">
        <f>NOW()</f>
        <v/>
      </c>
    </row>
    <row r="38" ht="15.75" customHeight="1" s="8">
      <c r="A38" s="5" t="inlineStr">
        <is>
          <t>TRX0245</t>
        </is>
      </c>
      <c r="B38" s="29" t="n">
        <v>45438</v>
      </c>
      <c r="C38" s="5" t="inlineStr">
        <is>
          <t>CUST031</t>
        </is>
      </c>
      <c r="D38" s="5" t="inlineStr">
        <is>
          <t>Steven Turner</t>
        </is>
      </c>
      <c r="E38" s="5" t="inlineStr">
        <is>
          <t>P006</t>
        </is>
      </c>
      <c r="F38" s="5" t="inlineStr">
        <is>
          <t>Office Chair</t>
        </is>
      </c>
      <c r="G38" s="5" t="inlineStr">
        <is>
          <t>Furniture</t>
        </is>
      </c>
      <c r="H38" s="5" t="n">
        <v>3</v>
      </c>
      <c r="I38" s="42" t="n">
        <v>199.99</v>
      </c>
      <c r="J38" s="5" t="inlineStr">
        <is>
          <t>Credit Card</t>
        </is>
      </c>
      <c r="K38" s="5" t="inlineStr">
        <is>
          <t>North</t>
        </is>
      </c>
      <c r="L38" s="5" t="inlineStr">
        <is>
          <t>Premium</t>
        </is>
      </c>
      <c r="M38" s="29" t="n">
        <v>45292</v>
      </c>
      <c r="N38" s="42" t="n">
        <v>599.97</v>
      </c>
      <c r="O38" s="0">
        <f>TEXT(B38,"yyyy-mm")</f>
        <v/>
      </c>
      <c r="P38" s="43">
        <f>DATEDIF(M38,TODAY(),"Y")</f>
        <v/>
      </c>
      <c r="Q38" s="0">
        <f>UPPER(LEFT(D38,1)&amp;MID(D38,FIND(" ",D38)+1,1))</f>
        <v/>
      </c>
      <c r="R38" s="44">
        <f>N38*90%</f>
        <v/>
      </c>
      <c r="S38" s="18">
        <f>NOW()</f>
        <v/>
      </c>
    </row>
    <row r="39" ht="15.75" customHeight="1" s="8">
      <c r="A39" s="5" t="inlineStr">
        <is>
          <t>TRX0015</t>
        </is>
      </c>
      <c r="B39" s="29" t="n">
        <v>45440</v>
      </c>
      <c r="C39" s="5" t="inlineStr">
        <is>
          <t>CUST008</t>
        </is>
      </c>
      <c r="D39" s="5" t="inlineStr">
        <is>
          <t>Jennifer Taylor</t>
        </is>
      </c>
      <c r="E39" s="5" t="inlineStr">
        <is>
          <t>P002</t>
        </is>
      </c>
      <c r="F39" s="5" t="inlineStr">
        <is>
          <t>Smartphone</t>
        </is>
      </c>
      <c r="G39" s="5" t="inlineStr">
        <is>
          <t>Electronics</t>
        </is>
      </c>
      <c r="H39" s="5" t="n">
        <v>5</v>
      </c>
      <c r="I39" s="42" t="n">
        <v>699.99</v>
      </c>
      <c r="J39" s="5" t="inlineStr">
        <is>
          <t>PayPal</t>
        </is>
      </c>
      <c r="K39" s="5" t="inlineStr">
        <is>
          <t>West</t>
        </is>
      </c>
      <c r="L39" s="5" t="inlineStr">
        <is>
          <t>Standard</t>
        </is>
      </c>
      <c r="M39" s="29" t="n">
        <v>44407</v>
      </c>
      <c r="N39" s="42" t="n">
        <v>3499.95</v>
      </c>
      <c r="O39" s="0">
        <f>TEXT(B39,"yyyy-mm")</f>
        <v/>
      </c>
      <c r="P39" s="43">
        <f>DATEDIF(M39,TODAY(),"Y")</f>
        <v/>
      </c>
      <c r="Q39" s="0">
        <f>UPPER(LEFT(D39,1)&amp;MID(D39,FIND(" ",D39)+1,1))</f>
        <v/>
      </c>
      <c r="R39" s="44">
        <f>N39*90%</f>
        <v/>
      </c>
      <c r="S39" s="18">
        <f>NOW()</f>
        <v/>
      </c>
    </row>
    <row r="40" ht="15.75" customHeight="1" s="8">
      <c r="A40" s="5" t="inlineStr">
        <is>
          <t>TRX0202</t>
        </is>
      </c>
      <c r="B40" s="29" t="n">
        <v>45441</v>
      </c>
      <c r="C40" s="5" t="inlineStr">
        <is>
          <t>CUST035</t>
        </is>
      </c>
      <c r="D40" s="5" t="inlineStr">
        <is>
          <t>Harry Morgan</t>
        </is>
      </c>
      <c r="E40" s="5" t="inlineStr">
        <is>
          <t>P010</t>
        </is>
      </c>
      <c r="F40" s="5" t="inlineStr">
        <is>
          <t>Keyboard</t>
        </is>
      </c>
      <c r="G40" s="5" t="inlineStr">
        <is>
          <t>Electronics</t>
        </is>
      </c>
      <c r="H40" s="5" t="n">
        <v>3</v>
      </c>
      <c r="I40" s="42" t="n">
        <v>89.98999999999999</v>
      </c>
      <c r="J40" s="5" t="inlineStr">
        <is>
          <t>PayPal</t>
        </is>
      </c>
      <c r="K40" s="5" t="inlineStr">
        <is>
          <t>Central</t>
        </is>
      </c>
      <c r="L40" s="5" t="inlineStr">
        <is>
          <t>Premium</t>
        </is>
      </c>
      <c r="M40" s="29" t="n">
        <v>45120</v>
      </c>
      <c r="N40" s="42" t="n">
        <v>269.97</v>
      </c>
      <c r="O40" s="0">
        <f>TEXT(B40,"yyyy-mm")</f>
        <v/>
      </c>
      <c r="P40" s="43">
        <f>DATEDIF(M40,TODAY(),"Y")</f>
        <v/>
      </c>
      <c r="Q40" s="0">
        <f>UPPER(LEFT(D40,1)&amp;MID(D40,FIND(" ",D40)+1,1))</f>
        <v/>
      </c>
      <c r="R40" s="44">
        <f>N40*90%</f>
        <v/>
      </c>
      <c r="S40" s="18">
        <f>NOW()</f>
        <v/>
      </c>
    </row>
    <row r="41" ht="15.75" customHeight="1" s="8">
      <c r="A41" s="5" t="inlineStr">
        <is>
          <t>TRX0042</t>
        </is>
      </c>
      <c r="B41" s="29" t="n">
        <v>45443</v>
      </c>
      <c r="C41" s="5" t="inlineStr">
        <is>
          <t>CUST019</t>
        </is>
      </c>
      <c r="D41" s="5" t="inlineStr">
        <is>
          <t>Daniel King</t>
        </is>
      </c>
      <c r="E41" s="5" t="inlineStr">
        <is>
          <t>P004</t>
        </is>
      </c>
      <c r="F41" s="5" t="inlineStr">
        <is>
          <t>Coffee Maker</t>
        </is>
      </c>
      <c r="G41" s="5" t="inlineStr">
        <is>
          <t>Appliances</t>
        </is>
      </c>
      <c r="H41" s="5" t="n">
        <v>1</v>
      </c>
      <c r="I41" s="42" t="n">
        <v>79.98999999999999</v>
      </c>
      <c r="J41" s="5" t="inlineStr">
        <is>
          <t>Cash</t>
        </is>
      </c>
      <c r="K41" s="5" t="inlineStr">
        <is>
          <t>North</t>
        </is>
      </c>
      <c r="L41" s="5" t="inlineStr">
        <is>
          <t>Standard</t>
        </is>
      </c>
      <c r="M41" s="29" t="n">
        <v>44917</v>
      </c>
      <c r="N41" s="42" t="n">
        <v>79.98999999999999</v>
      </c>
      <c r="O41" s="0">
        <f>TEXT(B41,"yyyy-mm")</f>
        <v/>
      </c>
      <c r="P41" s="43">
        <f>DATEDIF(M41,TODAY(),"Y")</f>
        <v/>
      </c>
      <c r="Q41" s="0">
        <f>UPPER(LEFT(D41,1)&amp;MID(D41,FIND(" ",D41)+1,1))</f>
        <v/>
      </c>
      <c r="R41" s="44">
        <f>N41*90%</f>
        <v/>
      </c>
      <c r="S41" s="18">
        <f>NOW()</f>
        <v/>
      </c>
    </row>
    <row r="42" ht="15.75" customHeight="1" s="8">
      <c r="A42" s="5" t="inlineStr">
        <is>
          <t>TRX0128</t>
        </is>
      </c>
      <c r="B42" s="29" t="n">
        <v>45444</v>
      </c>
      <c r="C42" s="5" t="inlineStr">
        <is>
          <t>CUST040</t>
        </is>
      </c>
      <c r="D42" s="5" t="inlineStr">
        <is>
          <t>Sharon Butler</t>
        </is>
      </c>
      <c r="E42" s="5" t="inlineStr">
        <is>
          <t>P005</t>
        </is>
      </c>
      <c r="F42" s="5" t="inlineStr">
        <is>
          <t>Blender</t>
        </is>
      </c>
      <c r="G42" s="5" t="inlineStr">
        <is>
          <t>Appliances</t>
        </is>
      </c>
      <c r="H42" s="5" t="n">
        <v>2</v>
      </c>
      <c r="I42" s="42" t="n">
        <v>59.99</v>
      </c>
      <c r="J42" s="5" t="inlineStr">
        <is>
          <t>Cash</t>
        </is>
      </c>
      <c r="K42" s="5" t="inlineStr">
        <is>
          <t>West</t>
        </is>
      </c>
      <c r="L42" s="5" t="inlineStr">
        <is>
          <t>Basic</t>
        </is>
      </c>
      <c r="M42" s="29" t="n">
        <v>45390</v>
      </c>
      <c r="N42" s="42" t="n">
        <v>119.98</v>
      </c>
      <c r="O42" s="0">
        <f>TEXT(B42,"yyyy-mm")</f>
        <v/>
      </c>
      <c r="P42" s="43">
        <f>DATEDIF(M42,TODAY(),"Y")</f>
        <v/>
      </c>
      <c r="Q42" s="0">
        <f>UPPER(LEFT(D42,1)&amp;MID(D42,FIND(" ",D42)+1,1))</f>
        <v/>
      </c>
      <c r="R42" s="44">
        <f>N42*90%</f>
        <v/>
      </c>
      <c r="S42" s="18">
        <f>NOW()</f>
        <v/>
      </c>
    </row>
    <row r="43" ht="15.75" customHeight="1" s="8">
      <c r="A43" s="5" t="inlineStr">
        <is>
          <t>TRX0117</t>
        </is>
      </c>
      <c r="B43" s="29" t="n">
        <v>45444</v>
      </c>
      <c r="C43" s="5" t="inlineStr">
        <is>
          <t>CUST017</t>
        </is>
      </c>
      <c r="D43" s="5" t="inlineStr">
        <is>
          <t>Charles Allen</t>
        </is>
      </c>
      <c r="E43" s="5" t="inlineStr">
        <is>
          <t>P010</t>
        </is>
      </c>
      <c r="F43" s="5" t="inlineStr">
        <is>
          <t>Keyboard</t>
        </is>
      </c>
      <c r="G43" s="5" t="inlineStr">
        <is>
          <t>Electronics</t>
        </is>
      </c>
      <c r="H43" s="5" t="n">
        <v>1</v>
      </c>
      <c r="I43" s="42" t="n">
        <v>89.98999999999999</v>
      </c>
      <c r="J43" s="5" t="inlineStr">
        <is>
          <t>Cash</t>
        </is>
      </c>
      <c r="K43" s="5" t="inlineStr">
        <is>
          <t>North</t>
        </is>
      </c>
      <c r="L43" s="5" t="inlineStr">
        <is>
          <t>Basic</t>
        </is>
      </c>
      <c r="M43" s="29" t="n">
        <v>45141</v>
      </c>
      <c r="N43" s="42" t="n">
        <v>89.98999999999999</v>
      </c>
      <c r="O43" s="0">
        <f>TEXT(B43,"yyyy-mm")</f>
        <v/>
      </c>
      <c r="P43" s="43">
        <f>DATEDIF(M43,TODAY(),"Y")</f>
        <v/>
      </c>
      <c r="Q43" s="0">
        <f>UPPER(LEFT(D43,1)&amp;MID(D43,FIND(" ",D43)+1,1))</f>
        <v/>
      </c>
      <c r="R43" s="44">
        <f>N43*90%</f>
        <v/>
      </c>
      <c r="S43" s="18">
        <f>NOW()</f>
        <v/>
      </c>
    </row>
    <row r="44" ht="15.75" customHeight="1" s="8">
      <c r="A44" s="5" t="inlineStr">
        <is>
          <t>TRX0208</t>
        </is>
      </c>
      <c r="B44" s="29" t="n">
        <v>45446</v>
      </c>
      <c r="C44" s="5" t="inlineStr">
        <is>
          <t>CUST004</t>
        </is>
      </c>
      <c r="D44" s="5" t="inlineStr">
        <is>
          <t>Sarah Davis</t>
        </is>
      </c>
      <c r="E44" s="5" t="inlineStr">
        <is>
          <t>P010</t>
        </is>
      </c>
      <c r="F44" s="5" t="inlineStr">
        <is>
          <t>Keyboard</t>
        </is>
      </c>
      <c r="G44" s="5" t="inlineStr">
        <is>
          <t>Electronics</t>
        </is>
      </c>
      <c r="H44" s="5" t="n">
        <v>5</v>
      </c>
      <c r="I44" s="42" t="n">
        <v>89.98999999999999</v>
      </c>
      <c r="J44" s="5" t="inlineStr">
        <is>
          <t>Credit Card</t>
        </is>
      </c>
      <c r="K44" s="5" t="inlineStr">
        <is>
          <t>East</t>
        </is>
      </c>
      <c r="L44" s="5" t="inlineStr">
        <is>
          <t>Standard</t>
        </is>
      </c>
      <c r="M44" s="29" t="n">
        <v>44587</v>
      </c>
      <c r="N44" s="42" t="n">
        <v>449.95</v>
      </c>
      <c r="O44" s="0">
        <f>TEXT(B44,"yyyy-mm")</f>
        <v/>
      </c>
      <c r="P44" s="43">
        <f>DATEDIF(M44,TODAY(),"Y")</f>
        <v/>
      </c>
      <c r="Q44" s="0">
        <f>UPPER(LEFT(D44,1)&amp;MID(D44,FIND(" ",D44)+1,1))</f>
        <v/>
      </c>
      <c r="R44" s="44">
        <f>N44*90%</f>
        <v/>
      </c>
      <c r="S44" s="18">
        <f>NOW()</f>
        <v/>
      </c>
    </row>
    <row r="45" ht="15.75" customHeight="1" s="8">
      <c r="A45" s="5" t="inlineStr">
        <is>
          <t>TRX0234</t>
        </is>
      </c>
      <c r="B45" s="29" t="n">
        <v>45449</v>
      </c>
      <c r="C45" s="5" t="inlineStr">
        <is>
          <t>CUST013</t>
        </is>
      </c>
      <c r="D45" s="5" t="inlineStr">
        <is>
          <t>Joseph Jackson</t>
        </is>
      </c>
      <c r="E45" s="5" t="inlineStr">
        <is>
          <t>P009</t>
        </is>
      </c>
      <c r="F45" s="5" t="inlineStr">
        <is>
          <t>Monitor</t>
        </is>
      </c>
      <c r="G45" s="5" t="inlineStr">
        <is>
          <t>Electronics</t>
        </is>
      </c>
      <c r="H45" s="5" t="n">
        <v>5</v>
      </c>
      <c r="I45" s="42" t="n">
        <v>249.99</v>
      </c>
      <c r="J45" s="5" t="inlineStr">
        <is>
          <t>Credit Card</t>
        </is>
      </c>
      <c r="K45" s="5" t="inlineStr">
        <is>
          <t>East</t>
        </is>
      </c>
      <c r="L45" s="5" t="inlineStr">
        <is>
          <t>Standard</t>
        </is>
      </c>
      <c r="M45" s="29" t="n">
        <v>44707</v>
      </c>
      <c r="N45" s="42" t="n">
        <v>1249.95</v>
      </c>
      <c r="O45" s="0">
        <f>TEXT(B45,"yyyy-mm")</f>
        <v/>
      </c>
      <c r="P45" s="43">
        <f>DATEDIF(M45,TODAY(),"Y")</f>
        <v/>
      </c>
      <c r="Q45" s="0">
        <f>UPPER(LEFT(D45,1)&amp;MID(D45,FIND(" ",D45)+1,1))</f>
        <v/>
      </c>
      <c r="R45" s="44">
        <f>N45*90%</f>
        <v/>
      </c>
      <c r="S45" s="18">
        <f>NOW()</f>
        <v/>
      </c>
    </row>
    <row r="46" ht="15.75" customHeight="1" s="8">
      <c r="A46" s="5" t="inlineStr">
        <is>
          <t>TRX0121</t>
        </is>
      </c>
      <c r="B46" s="29" t="n">
        <v>45449</v>
      </c>
      <c r="C46" s="5" t="inlineStr">
        <is>
          <t>CUST028</t>
        </is>
      </c>
      <c r="D46" s="5" t="inlineStr">
        <is>
          <t>Betty Campbell</t>
        </is>
      </c>
      <c r="E46" s="5" t="inlineStr">
        <is>
          <t>P010</t>
        </is>
      </c>
      <c r="F46" s="5" t="inlineStr">
        <is>
          <t>Keyboard</t>
        </is>
      </c>
      <c r="G46" s="5" t="inlineStr">
        <is>
          <t>Electronics</t>
        </is>
      </c>
      <c r="H46" s="5" t="n">
        <v>1</v>
      </c>
      <c r="I46" s="42" t="n">
        <v>89.98999999999999</v>
      </c>
      <c r="J46" s="5" t="inlineStr">
        <is>
          <t>Credit Card</t>
        </is>
      </c>
      <c r="K46" s="5" t="inlineStr">
        <is>
          <t>South</t>
        </is>
      </c>
      <c r="L46" s="5" t="inlineStr">
        <is>
          <t>Standard</t>
        </is>
      </c>
      <c r="M46" s="29" t="n">
        <v>44582</v>
      </c>
      <c r="N46" s="42" t="n">
        <v>89.98999999999999</v>
      </c>
      <c r="O46" s="0">
        <f>TEXT(B46,"yyyy-mm")</f>
        <v/>
      </c>
      <c r="P46" s="43">
        <f>DATEDIF(M46,TODAY(),"Y")</f>
        <v/>
      </c>
      <c r="Q46" s="0">
        <f>UPPER(LEFT(D46,1)&amp;MID(D46,FIND(" ",D46)+1,1))</f>
        <v/>
      </c>
      <c r="R46" s="44">
        <f>N46*90%</f>
        <v/>
      </c>
      <c r="S46" s="18">
        <f>NOW()</f>
        <v/>
      </c>
    </row>
    <row r="47" ht="15.75" customHeight="1" s="8">
      <c r="A47" s="5" t="inlineStr">
        <is>
          <t>TRX0220</t>
        </is>
      </c>
      <c r="B47" s="29" t="n">
        <v>45450</v>
      </c>
      <c r="C47" s="5" t="inlineStr">
        <is>
          <t>CUST003</t>
        </is>
      </c>
      <c r="D47" s="5" t="inlineStr">
        <is>
          <t>Michael Brown</t>
        </is>
      </c>
      <c r="E47" s="5" t="inlineStr">
        <is>
          <t>P008</t>
        </is>
      </c>
      <c r="F47" s="5" t="inlineStr">
        <is>
          <t>Bookshelf</t>
        </is>
      </c>
      <c r="G47" s="5" t="inlineStr">
        <is>
          <t>Furniture</t>
        </is>
      </c>
      <c r="H47" s="5" t="n">
        <v>2</v>
      </c>
      <c r="I47" s="42" t="n">
        <v>149.99</v>
      </c>
      <c r="J47" s="5" t="inlineStr">
        <is>
          <t>Cash</t>
        </is>
      </c>
      <c r="K47" s="5" t="inlineStr">
        <is>
          <t>East</t>
        </is>
      </c>
      <c r="L47" s="5" t="inlineStr">
        <is>
          <t>Premium</t>
        </is>
      </c>
      <c r="M47" s="29" t="n">
        <v>44645</v>
      </c>
      <c r="N47" s="42" t="n">
        <v>299.98</v>
      </c>
      <c r="O47" s="0">
        <f>TEXT(B47,"yyyy-mm")</f>
        <v/>
      </c>
      <c r="P47" s="43">
        <f>DATEDIF(M47,TODAY(),"Y")</f>
        <v/>
      </c>
      <c r="Q47" s="0">
        <f>UPPER(LEFT(D47,1)&amp;MID(D47,FIND(" ",D47)+1,1))</f>
        <v/>
      </c>
      <c r="R47" s="44">
        <f>N47*90%</f>
        <v/>
      </c>
      <c r="S47" s="18">
        <f>NOW()</f>
        <v/>
      </c>
    </row>
    <row r="48" ht="15.75" customHeight="1" s="8">
      <c r="A48" s="5" t="inlineStr">
        <is>
          <t>TRX0093</t>
        </is>
      </c>
      <c r="B48" s="29" t="n">
        <v>45452</v>
      </c>
      <c r="C48" s="5" t="inlineStr">
        <is>
          <t>CUST050</t>
        </is>
      </c>
      <c r="D48" s="5" t="inlineStr">
        <is>
          <t>Julie Foster</t>
        </is>
      </c>
      <c r="E48" s="5" t="inlineStr">
        <is>
          <t>P005</t>
        </is>
      </c>
      <c r="F48" s="5" t="inlineStr">
        <is>
          <t>Blender</t>
        </is>
      </c>
      <c r="G48" s="5" t="inlineStr">
        <is>
          <t>Appliances</t>
        </is>
      </c>
      <c r="H48" s="5" t="n">
        <v>4</v>
      </c>
      <c r="I48" s="42" t="n">
        <v>59.99</v>
      </c>
      <c r="J48" s="5" t="inlineStr">
        <is>
          <t>Cash</t>
        </is>
      </c>
      <c r="K48" s="5" t="inlineStr">
        <is>
          <t>East</t>
        </is>
      </c>
      <c r="L48" s="5" t="inlineStr">
        <is>
          <t>Standard</t>
        </is>
      </c>
      <c r="M48" s="29" t="n">
        <v>44435</v>
      </c>
      <c r="N48" s="42" t="n">
        <v>239.96</v>
      </c>
      <c r="O48" s="0">
        <f>TEXT(B48,"yyyy-mm")</f>
        <v/>
      </c>
      <c r="P48" s="43">
        <f>DATEDIF(M48,TODAY(),"Y")</f>
        <v/>
      </c>
      <c r="Q48" s="0">
        <f>UPPER(LEFT(D48,1)&amp;MID(D48,FIND(" ",D48)+1,1))</f>
        <v/>
      </c>
      <c r="R48" s="44">
        <f>N48*90%</f>
        <v/>
      </c>
      <c r="S48" s="18">
        <f>NOW()</f>
        <v/>
      </c>
    </row>
    <row r="49" ht="15.75" customHeight="1" s="8">
      <c r="A49" s="5" t="inlineStr">
        <is>
          <t>TRX0088</t>
        </is>
      </c>
      <c r="B49" s="29" t="n">
        <v>45456</v>
      </c>
      <c r="C49" s="5" t="inlineStr">
        <is>
          <t>CUST006</t>
        </is>
      </c>
      <c r="D49" s="5" t="inlineStr">
        <is>
          <t>Lisa Anderson</t>
        </is>
      </c>
      <c r="E49" s="5" t="inlineStr">
        <is>
          <t>P010</t>
        </is>
      </c>
      <c r="F49" s="5" t="inlineStr">
        <is>
          <t>Keyboard</t>
        </is>
      </c>
      <c r="G49" s="5" t="inlineStr">
        <is>
          <t>Electronics</t>
        </is>
      </c>
      <c r="H49" s="5" t="n">
        <v>5</v>
      </c>
      <c r="I49" s="42" t="n">
        <v>89.98999999999999</v>
      </c>
      <c r="J49" s="5" t="inlineStr">
        <is>
          <t>Cash</t>
        </is>
      </c>
      <c r="K49" s="5" t="inlineStr">
        <is>
          <t>Central</t>
        </is>
      </c>
      <c r="L49" s="5" t="inlineStr">
        <is>
          <t>Premium</t>
        </is>
      </c>
      <c r="M49" s="29" t="n">
        <v>44579</v>
      </c>
      <c r="N49" s="42" t="n">
        <v>449.95</v>
      </c>
      <c r="O49" s="0">
        <f>TEXT(B49,"yyyy-mm")</f>
        <v/>
      </c>
      <c r="P49" s="43">
        <f>DATEDIF(M49,TODAY(),"Y")</f>
        <v/>
      </c>
      <c r="Q49" s="0">
        <f>UPPER(LEFT(D49,1)&amp;MID(D49,FIND(" ",D49)+1,1))</f>
        <v/>
      </c>
      <c r="R49" s="44">
        <f>N49*90%</f>
        <v/>
      </c>
      <c r="S49" s="18">
        <f>NOW()</f>
        <v/>
      </c>
    </row>
    <row r="50" ht="15.75" customHeight="1" s="8">
      <c r="A50" s="5" t="inlineStr">
        <is>
          <t>TRX0115</t>
        </is>
      </c>
      <c r="B50" s="29" t="n">
        <v>45459</v>
      </c>
      <c r="C50" s="5" t="inlineStr">
        <is>
          <t>CUST012</t>
        </is>
      </c>
      <c r="D50" s="5" t="inlineStr">
        <is>
          <t>Patricia Moore</t>
        </is>
      </c>
      <c r="E50" s="5" t="inlineStr">
        <is>
          <t>P010</t>
        </is>
      </c>
      <c r="F50" s="5" t="inlineStr">
        <is>
          <t>Keyboard</t>
        </is>
      </c>
      <c r="G50" s="5" t="inlineStr">
        <is>
          <t>Electronics</t>
        </is>
      </c>
      <c r="H50" s="5" t="n">
        <v>2</v>
      </c>
      <c r="I50" s="42" t="n">
        <v>89.98999999999999</v>
      </c>
      <c r="J50" s="5" t="inlineStr">
        <is>
          <t>Credit Card</t>
        </is>
      </c>
      <c r="K50" s="5" t="inlineStr">
        <is>
          <t>South</t>
        </is>
      </c>
      <c r="L50" s="5" t="inlineStr">
        <is>
          <t>Premium</t>
        </is>
      </c>
      <c r="M50" s="29" t="n">
        <v>44471</v>
      </c>
      <c r="N50" s="42" t="n">
        <v>179.98</v>
      </c>
      <c r="O50" s="0">
        <f>TEXT(B50,"yyyy-mm")</f>
        <v/>
      </c>
      <c r="P50" s="43">
        <f>DATEDIF(M50,TODAY(),"Y")</f>
        <v/>
      </c>
      <c r="Q50" s="0">
        <f>UPPER(LEFT(D50,1)&amp;MID(D50,FIND(" ",D50)+1,1))</f>
        <v/>
      </c>
      <c r="R50" s="44">
        <f>N50*90%</f>
        <v/>
      </c>
      <c r="S50" s="18">
        <f>NOW()</f>
        <v/>
      </c>
    </row>
    <row r="51" ht="15.75" customHeight="1" s="8">
      <c r="A51" s="5" t="inlineStr">
        <is>
          <t>TRX0154</t>
        </is>
      </c>
      <c r="B51" s="29" t="n">
        <v>45459</v>
      </c>
      <c r="C51" s="5" t="inlineStr">
        <is>
          <t>CUST023</t>
        </is>
      </c>
      <c r="D51" s="5" t="inlineStr">
        <is>
          <t>Paul Baker</t>
        </is>
      </c>
      <c r="E51" s="5" t="inlineStr">
        <is>
          <t>P001</t>
        </is>
      </c>
      <c r="F51" s="5" t="inlineStr">
        <is>
          <t>Laptop</t>
        </is>
      </c>
      <c r="G51" s="5" t="inlineStr">
        <is>
          <t>Electronics</t>
        </is>
      </c>
      <c r="H51" s="5" t="n">
        <v>5</v>
      </c>
      <c r="I51" s="42" t="n">
        <v>899.99</v>
      </c>
      <c r="J51" s="5" t="inlineStr">
        <is>
          <t>Credit Card</t>
        </is>
      </c>
      <c r="K51" s="5" t="inlineStr">
        <is>
          <t>South</t>
        </is>
      </c>
      <c r="L51" s="5" t="inlineStr">
        <is>
          <t>Standard</t>
        </is>
      </c>
      <c r="M51" s="29" t="n">
        <v>44974</v>
      </c>
      <c r="N51" s="42" t="n">
        <v>4499.95</v>
      </c>
      <c r="O51" s="0">
        <f>TEXT(B51,"yyyy-mm")</f>
        <v/>
      </c>
      <c r="P51" s="43">
        <f>DATEDIF(M51,TODAY(),"Y")</f>
        <v/>
      </c>
      <c r="Q51" s="0">
        <f>UPPER(LEFT(D51,1)&amp;MID(D51,FIND(" ",D51)+1,1))</f>
        <v/>
      </c>
      <c r="R51" s="44">
        <f>N51*90%</f>
        <v/>
      </c>
      <c r="S51" s="18">
        <f>NOW()</f>
        <v/>
      </c>
    </row>
    <row r="52" ht="15.75" customHeight="1" s="8">
      <c r="A52" s="5" t="inlineStr">
        <is>
          <t>TRX0044</t>
        </is>
      </c>
      <c r="B52" s="29" t="n">
        <v>45459</v>
      </c>
      <c r="C52" s="5" t="inlineStr">
        <is>
          <t>CUST029</t>
        </is>
      </c>
      <c r="D52" s="5" t="inlineStr">
        <is>
          <t>Edward Mitchell</t>
        </is>
      </c>
      <c r="E52" s="5" t="inlineStr">
        <is>
          <t>P001</t>
        </is>
      </c>
      <c r="F52" s="5" t="inlineStr">
        <is>
          <t>Laptop</t>
        </is>
      </c>
      <c r="G52" s="5" t="inlineStr">
        <is>
          <t>Electronics</t>
        </is>
      </c>
      <c r="H52" s="5" t="n">
        <v>5</v>
      </c>
      <c r="I52" s="42" t="n">
        <v>899.99</v>
      </c>
      <c r="J52" s="5" t="inlineStr">
        <is>
          <t>PayPal</t>
        </is>
      </c>
      <c r="K52" s="5" t="inlineStr">
        <is>
          <t>East</t>
        </is>
      </c>
      <c r="L52" s="5" t="inlineStr">
        <is>
          <t>Premium</t>
        </is>
      </c>
      <c r="M52" s="29" t="n">
        <v>45278</v>
      </c>
      <c r="N52" s="42" t="n">
        <v>4499.95</v>
      </c>
      <c r="O52" s="0">
        <f>TEXT(B52,"yyyy-mm")</f>
        <v/>
      </c>
      <c r="P52" s="43">
        <f>DATEDIF(M52,TODAY(),"Y")</f>
        <v/>
      </c>
      <c r="Q52" s="0">
        <f>UPPER(LEFT(D52,1)&amp;MID(D52,FIND(" ",D52)+1,1))</f>
        <v/>
      </c>
      <c r="R52" s="44">
        <f>N52*90%</f>
        <v/>
      </c>
      <c r="S52" s="18">
        <f>NOW()</f>
        <v/>
      </c>
    </row>
    <row r="53" ht="15.75" customHeight="1" s="8">
      <c r="A53" s="5" t="inlineStr">
        <is>
          <t>TRX0061</t>
        </is>
      </c>
      <c r="B53" s="29" t="n">
        <v>45460</v>
      </c>
      <c r="C53" s="5" t="inlineStr">
        <is>
          <t>CUST028</t>
        </is>
      </c>
      <c r="D53" s="5" t="inlineStr">
        <is>
          <t>Betty Campbell</t>
        </is>
      </c>
      <c r="E53" s="5" t="inlineStr">
        <is>
          <t>P005</t>
        </is>
      </c>
      <c r="F53" s="5" t="inlineStr">
        <is>
          <t>Blender</t>
        </is>
      </c>
      <c r="G53" s="5" t="inlineStr">
        <is>
          <t>Appliances</t>
        </is>
      </c>
      <c r="H53" s="5" t="n">
        <v>1</v>
      </c>
      <c r="I53" s="42" t="n">
        <v>59.99</v>
      </c>
      <c r="J53" s="5" t="inlineStr">
        <is>
          <t>Debit Card</t>
        </is>
      </c>
      <c r="K53" s="5" t="inlineStr">
        <is>
          <t>West</t>
        </is>
      </c>
      <c r="L53" s="5" t="inlineStr">
        <is>
          <t>Premium</t>
        </is>
      </c>
      <c r="M53" s="29" t="n">
        <v>45190</v>
      </c>
      <c r="N53" s="42" t="n">
        <v>59.99</v>
      </c>
      <c r="O53" s="0">
        <f>TEXT(B53,"yyyy-mm")</f>
        <v/>
      </c>
      <c r="P53" s="43">
        <f>DATEDIF(M53,TODAY(),"Y")</f>
        <v/>
      </c>
      <c r="Q53" s="0">
        <f>UPPER(LEFT(D53,1)&amp;MID(D53,FIND(" ",D53)+1,1))</f>
        <v/>
      </c>
      <c r="R53" s="44">
        <f>N53*90%</f>
        <v/>
      </c>
      <c r="S53" s="18">
        <f>NOW()</f>
        <v/>
      </c>
    </row>
    <row r="54" ht="15.75" customHeight="1" s="8">
      <c r="A54" s="5" t="inlineStr">
        <is>
          <t>TRX0150</t>
        </is>
      </c>
      <c r="B54" s="29" t="n">
        <v>45460</v>
      </c>
      <c r="C54" s="5" t="inlineStr">
        <is>
          <t>CUST008</t>
        </is>
      </c>
      <c r="D54" s="5" t="inlineStr">
        <is>
          <t>Jennifer Taylor</t>
        </is>
      </c>
      <c r="E54" s="5" t="inlineStr">
        <is>
          <t>P007</t>
        </is>
      </c>
      <c r="F54" s="5" t="inlineStr">
        <is>
          <t>Desk</t>
        </is>
      </c>
      <c r="G54" s="5" t="inlineStr">
        <is>
          <t>Furniture</t>
        </is>
      </c>
      <c r="H54" s="5" t="n">
        <v>2</v>
      </c>
      <c r="I54" s="42" t="n">
        <v>299.99</v>
      </c>
      <c r="J54" s="5" t="inlineStr">
        <is>
          <t>Debit Card</t>
        </is>
      </c>
      <c r="K54" s="5" t="inlineStr">
        <is>
          <t>East</t>
        </is>
      </c>
      <c r="L54" s="5" t="inlineStr">
        <is>
          <t>Standard</t>
        </is>
      </c>
      <c r="M54" s="29" t="n">
        <v>45253</v>
      </c>
      <c r="N54" s="42" t="n">
        <v>599.98</v>
      </c>
      <c r="O54" s="0">
        <f>TEXT(B54,"yyyy-mm")</f>
        <v/>
      </c>
      <c r="P54" s="43">
        <f>DATEDIF(M54,TODAY(),"Y")</f>
        <v/>
      </c>
      <c r="Q54" s="0">
        <f>UPPER(LEFT(D54,1)&amp;MID(D54,FIND(" ",D54)+1,1))</f>
        <v/>
      </c>
      <c r="R54" s="44">
        <f>N54*90%</f>
        <v/>
      </c>
      <c r="S54" s="18">
        <f>NOW()</f>
        <v/>
      </c>
    </row>
    <row r="55" ht="15.75" customHeight="1" s="8">
      <c r="A55" s="5" t="inlineStr">
        <is>
          <t>TRX0025</t>
        </is>
      </c>
      <c r="B55" s="29" t="n">
        <v>45468</v>
      </c>
      <c r="C55" s="5" t="inlineStr">
        <is>
          <t>CUST049</t>
        </is>
      </c>
      <c r="D55" s="5" t="inlineStr">
        <is>
          <t>Raymond Ross</t>
        </is>
      </c>
      <c r="E55" s="5" t="inlineStr">
        <is>
          <t>P010</t>
        </is>
      </c>
      <c r="F55" s="5" t="inlineStr">
        <is>
          <t>Keyboard</t>
        </is>
      </c>
      <c r="G55" s="5" t="inlineStr">
        <is>
          <t>Electronics</t>
        </is>
      </c>
      <c r="H55" s="5" t="n">
        <v>4</v>
      </c>
      <c r="I55" s="42" t="n">
        <v>89.98999999999999</v>
      </c>
      <c r="J55" s="5" t="inlineStr">
        <is>
          <t>Debit Card</t>
        </is>
      </c>
      <c r="K55" s="5" t="inlineStr">
        <is>
          <t>South</t>
        </is>
      </c>
      <c r="L55" s="5" t="inlineStr">
        <is>
          <t>Basic</t>
        </is>
      </c>
      <c r="M55" s="29" t="n">
        <v>45281</v>
      </c>
      <c r="N55" s="42" t="n">
        <v>359.96</v>
      </c>
      <c r="O55" s="0">
        <f>TEXT(B55,"yyyy-mm")</f>
        <v/>
      </c>
      <c r="P55" s="43">
        <f>DATEDIF(M55,TODAY(),"Y")</f>
        <v/>
      </c>
      <c r="Q55" s="0">
        <f>UPPER(LEFT(D55,1)&amp;MID(D55,FIND(" ",D55)+1,1))</f>
        <v/>
      </c>
      <c r="R55" s="44">
        <f>N55*90%</f>
        <v/>
      </c>
      <c r="S55" s="18">
        <f>NOW()</f>
        <v/>
      </c>
    </row>
    <row r="56" ht="15.75" customHeight="1" s="8">
      <c r="A56" s="5" t="inlineStr">
        <is>
          <t>TRX0078</t>
        </is>
      </c>
      <c r="B56" s="29" t="n">
        <v>45469</v>
      </c>
      <c r="C56" s="5" t="inlineStr">
        <is>
          <t>CUST021</t>
        </is>
      </c>
      <c r="D56" s="5" t="inlineStr">
        <is>
          <t>Kevin Scott</t>
        </is>
      </c>
      <c r="E56" s="5" t="inlineStr">
        <is>
          <t>P004</t>
        </is>
      </c>
      <c r="F56" s="5" t="inlineStr">
        <is>
          <t>Coffee Maker</t>
        </is>
      </c>
      <c r="G56" s="5" t="inlineStr">
        <is>
          <t>Appliances</t>
        </is>
      </c>
      <c r="H56" s="5" t="n">
        <v>1</v>
      </c>
      <c r="I56" s="42" t="n">
        <v>79.98999999999999</v>
      </c>
      <c r="J56" s="5" t="inlineStr">
        <is>
          <t>PayPal</t>
        </is>
      </c>
      <c r="K56" s="5" t="inlineStr">
        <is>
          <t>Central</t>
        </is>
      </c>
      <c r="L56" s="5" t="inlineStr">
        <is>
          <t>Premium</t>
        </is>
      </c>
      <c r="M56" s="29" t="n">
        <v>45352</v>
      </c>
      <c r="N56" s="42" t="n">
        <v>79.98999999999999</v>
      </c>
      <c r="O56" s="0">
        <f>TEXT(B56,"yyyy-mm")</f>
        <v/>
      </c>
      <c r="P56" s="43">
        <f>DATEDIF(M56,TODAY(),"Y")</f>
        <v/>
      </c>
      <c r="Q56" s="0">
        <f>UPPER(LEFT(D56,1)&amp;MID(D56,FIND(" ",D56)+1,1))</f>
        <v/>
      </c>
      <c r="R56" s="44">
        <f>N56*90%</f>
        <v/>
      </c>
      <c r="S56" s="18">
        <f>NOW()</f>
        <v/>
      </c>
    </row>
    <row r="57" ht="15.75" customHeight="1" s="8">
      <c r="A57" s="5" t="inlineStr">
        <is>
          <t>TRX0007</t>
        </is>
      </c>
      <c r="B57" s="29" t="n">
        <v>45469</v>
      </c>
      <c r="C57" s="5" t="inlineStr">
        <is>
          <t>CUST009</t>
        </is>
      </c>
      <c r="D57" s="5" t="inlineStr">
        <is>
          <t>Robert Thomas</t>
        </is>
      </c>
      <c r="E57" s="5" t="inlineStr">
        <is>
          <t>P010</t>
        </is>
      </c>
      <c r="F57" s="5" t="inlineStr">
        <is>
          <t>Keyboard</t>
        </is>
      </c>
      <c r="G57" s="5" t="inlineStr">
        <is>
          <t>Electronics</t>
        </is>
      </c>
      <c r="H57" s="5" t="n">
        <v>2</v>
      </c>
      <c r="I57" s="42" t="n">
        <v>89.98999999999999</v>
      </c>
      <c r="J57" s="5" t="inlineStr">
        <is>
          <t>Cash</t>
        </is>
      </c>
      <c r="K57" s="5" t="inlineStr">
        <is>
          <t>West</t>
        </is>
      </c>
      <c r="L57" s="5" t="inlineStr">
        <is>
          <t>Basic</t>
        </is>
      </c>
      <c r="M57" s="29" t="n">
        <v>44438</v>
      </c>
      <c r="N57" s="42" t="n">
        <v>179.98</v>
      </c>
      <c r="O57" s="0">
        <f>TEXT(B57,"yyyy-mm")</f>
        <v/>
      </c>
      <c r="P57" s="43">
        <f>DATEDIF(M57,TODAY(),"Y")</f>
        <v/>
      </c>
      <c r="Q57" s="0">
        <f>UPPER(LEFT(D57,1)&amp;MID(D57,FIND(" ",D57)+1,1))</f>
        <v/>
      </c>
      <c r="R57" s="44">
        <f>N57*90%</f>
        <v/>
      </c>
      <c r="S57" s="18">
        <f>NOW()</f>
        <v/>
      </c>
    </row>
    <row r="58" ht="15.75" customHeight="1" s="8">
      <c r="A58" s="5" t="inlineStr">
        <is>
          <t>TRX0184</t>
        </is>
      </c>
      <c r="B58" s="29" t="n">
        <v>45471</v>
      </c>
      <c r="C58" s="5" t="inlineStr">
        <is>
          <t>CUST046</t>
        </is>
      </c>
      <c r="D58" s="5" t="inlineStr">
        <is>
          <t>Kathleen Bennett</t>
        </is>
      </c>
      <c r="E58" s="5" t="inlineStr">
        <is>
          <t>P002</t>
        </is>
      </c>
      <c r="F58" s="5" t="inlineStr">
        <is>
          <t>Smartphone</t>
        </is>
      </c>
      <c r="G58" s="5" t="inlineStr">
        <is>
          <t>Electronics</t>
        </is>
      </c>
      <c r="H58" s="5" t="n">
        <v>3</v>
      </c>
      <c r="I58" s="42" t="n">
        <v>699.99</v>
      </c>
      <c r="J58" s="5" t="inlineStr">
        <is>
          <t>Credit Card</t>
        </is>
      </c>
      <c r="K58" s="5" t="inlineStr">
        <is>
          <t>East</t>
        </is>
      </c>
      <c r="L58" s="5" t="inlineStr">
        <is>
          <t>Premium</t>
        </is>
      </c>
      <c r="M58" s="29" t="n">
        <v>45102</v>
      </c>
      <c r="N58" s="42" t="n">
        <v>2099.97</v>
      </c>
      <c r="O58" s="0">
        <f>TEXT(B58,"yyyy-mm")</f>
        <v/>
      </c>
      <c r="P58" s="43">
        <f>DATEDIF(M58,TODAY(),"Y")</f>
        <v/>
      </c>
      <c r="Q58" s="0">
        <f>UPPER(LEFT(D58,1)&amp;MID(D58,FIND(" ",D58)+1,1))</f>
        <v/>
      </c>
      <c r="R58" s="44">
        <f>N58*90%</f>
        <v/>
      </c>
      <c r="S58" s="18">
        <f>NOW()</f>
        <v/>
      </c>
    </row>
    <row r="59" ht="15.75" customHeight="1" s="8">
      <c r="A59" s="5" t="inlineStr">
        <is>
          <t>TRX0104</t>
        </is>
      </c>
      <c r="B59" s="29" t="n">
        <v>45471</v>
      </c>
      <c r="C59" s="5" t="inlineStr">
        <is>
          <t>CUST012</t>
        </is>
      </c>
      <c r="D59" s="5" t="inlineStr">
        <is>
          <t>Patricia Moore</t>
        </is>
      </c>
      <c r="E59" s="5" t="inlineStr">
        <is>
          <t>P001</t>
        </is>
      </c>
      <c r="F59" s="5" t="inlineStr">
        <is>
          <t>Laptop</t>
        </is>
      </c>
      <c r="G59" s="5" t="inlineStr">
        <is>
          <t>Electronics</t>
        </is>
      </c>
      <c r="H59" s="5" t="n">
        <v>4</v>
      </c>
      <c r="I59" s="42" t="n">
        <v>899.99</v>
      </c>
      <c r="J59" s="5" t="inlineStr">
        <is>
          <t>Credit Card</t>
        </is>
      </c>
      <c r="K59" s="5" t="inlineStr">
        <is>
          <t>East</t>
        </is>
      </c>
      <c r="L59" s="5" t="inlineStr">
        <is>
          <t>Premium</t>
        </is>
      </c>
      <c r="M59" s="29" t="n">
        <v>44993</v>
      </c>
      <c r="N59" s="42" t="n">
        <v>3599.96</v>
      </c>
      <c r="O59" s="0">
        <f>TEXT(B59,"yyyy-mm")</f>
        <v/>
      </c>
      <c r="P59" s="43">
        <f>DATEDIF(M59,TODAY(),"Y")</f>
        <v/>
      </c>
      <c r="Q59" s="0">
        <f>UPPER(LEFT(D59,1)&amp;MID(D59,FIND(" ",D59)+1,1))</f>
        <v/>
      </c>
      <c r="R59" s="44">
        <f>N59*90%</f>
        <v/>
      </c>
      <c r="S59" s="18">
        <f>NOW()</f>
        <v/>
      </c>
    </row>
    <row r="60" ht="15.75" customHeight="1" s="8">
      <c r="A60" s="5" t="inlineStr">
        <is>
          <t>TRX0127</t>
        </is>
      </c>
      <c r="B60" s="29" t="n">
        <v>45472</v>
      </c>
      <c r="C60" s="5" t="inlineStr">
        <is>
          <t>CUST030</t>
        </is>
      </c>
      <c r="D60" s="5" t="inlineStr">
        <is>
          <t>Helen Roberts</t>
        </is>
      </c>
      <c r="E60" s="5" t="inlineStr">
        <is>
          <t>P008</t>
        </is>
      </c>
      <c r="F60" s="5" t="inlineStr">
        <is>
          <t>Bookshelf</t>
        </is>
      </c>
      <c r="G60" s="5" t="inlineStr">
        <is>
          <t>Furniture</t>
        </is>
      </c>
      <c r="H60" s="5" t="n">
        <v>1</v>
      </c>
      <c r="I60" s="42" t="n">
        <v>149.99</v>
      </c>
      <c r="J60" s="5" t="inlineStr">
        <is>
          <t>PayPal</t>
        </is>
      </c>
      <c r="K60" s="5" t="inlineStr">
        <is>
          <t>East</t>
        </is>
      </c>
      <c r="L60" s="5" t="inlineStr">
        <is>
          <t>Basic</t>
        </is>
      </c>
      <c r="M60" s="29" t="n">
        <v>44851</v>
      </c>
      <c r="N60" s="42" t="n">
        <v>149.99</v>
      </c>
      <c r="O60" s="0">
        <f>TEXT(B60,"yyyy-mm")</f>
        <v/>
      </c>
      <c r="P60" s="43">
        <f>DATEDIF(M60,TODAY(),"Y")</f>
        <v/>
      </c>
      <c r="Q60" s="0">
        <f>UPPER(LEFT(D60,1)&amp;MID(D60,FIND(" ",D60)+1,1))</f>
        <v/>
      </c>
      <c r="R60" s="44">
        <f>N60*90%</f>
        <v/>
      </c>
      <c r="S60" s="18">
        <f>NOW()</f>
        <v/>
      </c>
    </row>
    <row r="61" ht="15.75" customHeight="1" s="8">
      <c r="A61" s="5" t="inlineStr">
        <is>
          <t>TRX0096</t>
        </is>
      </c>
      <c r="B61" s="29" t="n">
        <v>45474</v>
      </c>
      <c r="C61" s="5" t="inlineStr">
        <is>
          <t>CUST002</t>
        </is>
      </c>
      <c r="D61" s="5" t="inlineStr">
        <is>
          <t>Emma Wilson</t>
        </is>
      </c>
      <c r="E61" s="5" t="inlineStr">
        <is>
          <t>P010</t>
        </is>
      </c>
      <c r="F61" s="5" t="inlineStr">
        <is>
          <t>Keyboard</t>
        </is>
      </c>
      <c r="G61" s="5" t="inlineStr">
        <is>
          <t>Electronics</t>
        </is>
      </c>
      <c r="H61" s="5" t="n">
        <v>2</v>
      </c>
      <c r="I61" s="42" t="n">
        <v>89.98999999999999</v>
      </c>
      <c r="J61" s="5" t="inlineStr">
        <is>
          <t>PayPal</t>
        </is>
      </c>
      <c r="K61" s="5" t="inlineStr">
        <is>
          <t>Central</t>
        </is>
      </c>
      <c r="L61" s="5" t="inlineStr">
        <is>
          <t>Premium</t>
        </is>
      </c>
      <c r="M61" s="29" t="n">
        <v>45275</v>
      </c>
      <c r="N61" s="42" t="n">
        <v>179.98</v>
      </c>
      <c r="O61" s="0">
        <f>TEXT(B61,"yyyy-mm")</f>
        <v/>
      </c>
      <c r="P61" s="43">
        <f>DATEDIF(M61,TODAY(),"Y")</f>
        <v/>
      </c>
      <c r="Q61" s="0">
        <f>UPPER(LEFT(D61,1)&amp;MID(D61,FIND(" ",D61)+1,1))</f>
        <v/>
      </c>
      <c r="R61" s="44">
        <f>N61*90%</f>
        <v/>
      </c>
      <c r="S61" s="18">
        <f>NOW()</f>
        <v/>
      </c>
    </row>
    <row r="62" ht="15.75" customHeight="1" s="8">
      <c r="A62" s="5" t="inlineStr">
        <is>
          <t>TRX0192</t>
        </is>
      </c>
      <c r="B62" s="29" t="n">
        <v>45475</v>
      </c>
      <c r="C62" s="5" t="inlineStr">
        <is>
          <t>CUST017</t>
        </is>
      </c>
      <c r="D62" s="5" t="inlineStr">
        <is>
          <t>Charles Allen</t>
        </is>
      </c>
      <c r="E62" s="5" t="inlineStr">
        <is>
          <t>P010</t>
        </is>
      </c>
      <c r="F62" s="5" t="inlineStr">
        <is>
          <t>Keyboard</t>
        </is>
      </c>
      <c r="G62" s="5" t="inlineStr">
        <is>
          <t>Electronics</t>
        </is>
      </c>
      <c r="H62" s="5" t="n">
        <v>1</v>
      </c>
      <c r="I62" s="42" t="n">
        <v>89.98999999999999</v>
      </c>
      <c r="J62" s="5" t="inlineStr">
        <is>
          <t>PayPal</t>
        </is>
      </c>
      <c r="K62" s="5" t="inlineStr">
        <is>
          <t>West</t>
        </is>
      </c>
      <c r="L62" s="5" t="inlineStr">
        <is>
          <t>Standard</t>
        </is>
      </c>
      <c r="M62" s="29" t="n">
        <v>44802</v>
      </c>
      <c r="N62" s="42" t="n">
        <v>89.98999999999999</v>
      </c>
      <c r="O62" s="0">
        <f>TEXT(B62,"yyyy-mm")</f>
        <v/>
      </c>
      <c r="P62" s="43">
        <f>DATEDIF(M62,TODAY(),"Y")</f>
        <v/>
      </c>
      <c r="Q62" s="0">
        <f>UPPER(LEFT(D62,1)&amp;MID(D62,FIND(" ",D62)+1,1))</f>
        <v/>
      </c>
      <c r="R62" s="44">
        <f>N62*90%</f>
        <v/>
      </c>
      <c r="S62" s="18">
        <f>NOW()</f>
        <v/>
      </c>
    </row>
    <row r="63" ht="15.75" customHeight="1" s="8">
      <c r="A63" s="5" t="inlineStr">
        <is>
          <t>TRX0052</t>
        </is>
      </c>
      <c r="B63" s="29" t="n">
        <v>45476</v>
      </c>
      <c r="C63" s="5" t="inlineStr">
        <is>
          <t>CUST022</t>
        </is>
      </c>
      <c r="D63" s="5" t="inlineStr">
        <is>
          <t>Susan Green</t>
        </is>
      </c>
      <c r="E63" s="5" t="inlineStr">
        <is>
          <t>P010</t>
        </is>
      </c>
      <c r="F63" s="5" t="inlineStr">
        <is>
          <t>Keyboard</t>
        </is>
      </c>
      <c r="G63" s="5" t="inlineStr">
        <is>
          <t>Electronics</t>
        </is>
      </c>
      <c r="H63" s="5" t="n">
        <v>1</v>
      </c>
      <c r="I63" s="42" t="n">
        <v>89.98999999999999</v>
      </c>
      <c r="J63" s="5" t="inlineStr">
        <is>
          <t>Cash</t>
        </is>
      </c>
      <c r="K63" s="5" t="inlineStr">
        <is>
          <t>South</t>
        </is>
      </c>
      <c r="L63" s="5" t="inlineStr">
        <is>
          <t>Standard</t>
        </is>
      </c>
      <c r="M63" s="29" t="n">
        <v>44611</v>
      </c>
      <c r="N63" s="42" t="n">
        <v>89.98999999999999</v>
      </c>
      <c r="O63" s="0">
        <f>TEXT(B63,"yyyy-mm")</f>
        <v/>
      </c>
      <c r="P63" s="43">
        <f>DATEDIF(M63,TODAY(),"Y")</f>
        <v/>
      </c>
      <c r="Q63" s="0">
        <f>UPPER(LEFT(D63,1)&amp;MID(D63,FIND(" ",D63)+1,1))</f>
        <v/>
      </c>
      <c r="R63" s="44">
        <f>N63*90%</f>
        <v/>
      </c>
      <c r="S63" s="18">
        <f>NOW()</f>
        <v/>
      </c>
    </row>
    <row r="64" ht="15.75" customHeight="1" s="8">
      <c r="A64" s="5" t="inlineStr">
        <is>
          <t>TRX0070</t>
        </is>
      </c>
      <c r="B64" s="29" t="n">
        <v>45476</v>
      </c>
      <c r="C64" s="5" t="inlineStr">
        <is>
          <t>CUST007</t>
        </is>
      </c>
      <c r="D64" s="5" t="inlineStr">
        <is>
          <t>David Martinez</t>
        </is>
      </c>
      <c r="E64" s="5" t="inlineStr">
        <is>
          <t>P004</t>
        </is>
      </c>
      <c r="F64" s="5" t="inlineStr">
        <is>
          <t>Coffee Maker</t>
        </is>
      </c>
      <c r="G64" s="5" t="inlineStr">
        <is>
          <t>Appliances</t>
        </is>
      </c>
      <c r="H64" s="5" t="n">
        <v>5</v>
      </c>
      <c r="I64" s="42" t="n">
        <v>79.98999999999999</v>
      </c>
      <c r="J64" s="5" t="inlineStr">
        <is>
          <t>Debit Card</t>
        </is>
      </c>
      <c r="K64" s="5" t="inlineStr">
        <is>
          <t>Central</t>
        </is>
      </c>
      <c r="L64" s="5" t="inlineStr">
        <is>
          <t>Basic</t>
        </is>
      </c>
      <c r="M64" s="29" t="n">
        <v>44981</v>
      </c>
      <c r="N64" s="42" t="n">
        <v>399.95</v>
      </c>
      <c r="O64" s="0">
        <f>TEXT(B64,"yyyy-mm")</f>
        <v/>
      </c>
      <c r="P64" s="43">
        <f>DATEDIF(M64,TODAY(),"Y")</f>
        <v/>
      </c>
      <c r="Q64" s="0">
        <f>UPPER(LEFT(D64,1)&amp;MID(D64,FIND(" ",D64)+1,1))</f>
        <v/>
      </c>
      <c r="R64" s="44">
        <f>N64*90%</f>
        <v/>
      </c>
      <c r="S64" s="18">
        <f>NOW()</f>
        <v/>
      </c>
    </row>
    <row r="65" ht="15.75" customHeight="1" s="8">
      <c r="A65" s="5" t="inlineStr">
        <is>
          <t>TRX0086</t>
        </is>
      </c>
      <c r="B65" s="29" t="n">
        <v>45481</v>
      </c>
      <c r="C65" s="5" t="inlineStr">
        <is>
          <t>CUST020</t>
        </is>
      </c>
      <c r="D65" s="5" t="inlineStr">
        <is>
          <t>Margaret Wright</t>
        </is>
      </c>
      <c r="E65" s="5" t="inlineStr">
        <is>
          <t>P008</t>
        </is>
      </c>
      <c r="F65" s="5" t="inlineStr">
        <is>
          <t>Bookshelf</t>
        </is>
      </c>
      <c r="G65" s="5" t="inlineStr">
        <is>
          <t>Furniture</t>
        </is>
      </c>
      <c r="H65" s="5" t="n">
        <v>1</v>
      </c>
      <c r="I65" s="42" t="n">
        <v>149.99</v>
      </c>
      <c r="J65" s="5" t="inlineStr">
        <is>
          <t>PayPal</t>
        </is>
      </c>
      <c r="K65" s="5" t="inlineStr">
        <is>
          <t>North</t>
        </is>
      </c>
      <c r="L65" s="5" t="inlineStr">
        <is>
          <t>Basic</t>
        </is>
      </c>
      <c r="M65" s="29" t="n">
        <v>44421</v>
      </c>
      <c r="N65" s="42" t="n">
        <v>149.99</v>
      </c>
      <c r="O65" s="0">
        <f>TEXT(B65,"yyyy-mm")</f>
        <v/>
      </c>
      <c r="P65" s="43">
        <f>DATEDIF(M65,TODAY(),"Y")</f>
        <v/>
      </c>
      <c r="Q65" s="0">
        <f>UPPER(LEFT(D65,1)&amp;MID(D65,FIND(" ",D65)+1,1))</f>
        <v/>
      </c>
      <c r="R65" s="44">
        <f>N65*90%</f>
        <v/>
      </c>
      <c r="S65" s="18">
        <f>NOW()</f>
        <v/>
      </c>
    </row>
    <row r="66" ht="15.75" customHeight="1" s="8">
      <c r="A66" s="5" t="inlineStr">
        <is>
          <t>TRX0113</t>
        </is>
      </c>
      <c r="B66" s="29" t="n">
        <v>45481</v>
      </c>
      <c r="C66" s="5" t="inlineStr">
        <is>
          <t>CUST003</t>
        </is>
      </c>
      <c r="D66" s="5" t="inlineStr">
        <is>
          <t>Michael Brown</t>
        </is>
      </c>
      <c r="E66" s="5" t="inlineStr">
        <is>
          <t>P002</t>
        </is>
      </c>
      <c r="F66" s="5" t="inlineStr">
        <is>
          <t>Smartphone</t>
        </is>
      </c>
      <c r="G66" s="5" t="inlineStr">
        <is>
          <t>Electronics</t>
        </is>
      </c>
      <c r="H66" s="5" t="n">
        <v>2</v>
      </c>
      <c r="I66" s="42" t="n">
        <v>699.99</v>
      </c>
      <c r="J66" s="5" t="inlineStr">
        <is>
          <t>PayPal</t>
        </is>
      </c>
      <c r="K66" s="5" t="inlineStr">
        <is>
          <t>East</t>
        </is>
      </c>
      <c r="L66" s="5" t="inlineStr">
        <is>
          <t>Premium</t>
        </is>
      </c>
      <c r="M66" s="29" t="n">
        <v>45389</v>
      </c>
      <c r="N66" s="42" t="n">
        <v>1399.98</v>
      </c>
      <c r="O66" s="0">
        <f>TEXT(B66,"yyyy-mm")</f>
        <v/>
      </c>
      <c r="P66" s="43">
        <f>DATEDIF(M66,TODAY(),"Y")</f>
        <v/>
      </c>
      <c r="Q66" s="0">
        <f>UPPER(LEFT(D66,1)&amp;MID(D66,FIND(" ",D66)+1,1))</f>
        <v/>
      </c>
      <c r="R66" s="44">
        <f>N66*90%</f>
        <v/>
      </c>
      <c r="S66" s="18">
        <f>NOW()</f>
        <v/>
      </c>
    </row>
    <row r="67" ht="15.75" customHeight="1" s="8">
      <c r="A67" s="5" t="inlineStr">
        <is>
          <t>TRX0114</t>
        </is>
      </c>
      <c r="B67" s="29" t="n">
        <v>45481</v>
      </c>
      <c r="C67" s="5" t="inlineStr">
        <is>
          <t>CUST018</t>
        </is>
      </c>
      <c r="D67" s="5" t="inlineStr">
        <is>
          <t>Barbara Young</t>
        </is>
      </c>
      <c r="E67" s="5" t="inlineStr">
        <is>
          <t>P010</t>
        </is>
      </c>
      <c r="F67" s="5" t="inlineStr">
        <is>
          <t>Keyboard</t>
        </is>
      </c>
      <c r="G67" s="5" t="inlineStr">
        <is>
          <t>Electronics</t>
        </is>
      </c>
      <c r="H67" s="5" t="n">
        <v>5</v>
      </c>
      <c r="I67" s="42" t="n">
        <v>89.98999999999999</v>
      </c>
      <c r="J67" s="5" t="inlineStr">
        <is>
          <t>Debit Card</t>
        </is>
      </c>
      <c r="K67" s="5" t="inlineStr">
        <is>
          <t>North</t>
        </is>
      </c>
      <c r="L67" s="5" t="inlineStr">
        <is>
          <t>Premium</t>
        </is>
      </c>
      <c r="M67" s="29" t="n">
        <v>45161</v>
      </c>
      <c r="N67" s="42" t="n">
        <v>449.95</v>
      </c>
      <c r="O67" s="0">
        <f>TEXT(B67,"yyyy-mm")</f>
        <v/>
      </c>
      <c r="P67" s="43">
        <f>DATEDIF(M67,TODAY(),"Y")</f>
        <v/>
      </c>
      <c r="Q67" s="0">
        <f>UPPER(LEFT(D67,1)&amp;MID(D67,FIND(" ",D67)+1,1))</f>
        <v/>
      </c>
      <c r="R67" s="44">
        <f>N67*90%</f>
        <v/>
      </c>
      <c r="S67" s="18">
        <f>NOW()</f>
        <v/>
      </c>
    </row>
    <row r="68" ht="15.75" customHeight="1" s="8">
      <c r="A68" s="5" t="inlineStr">
        <is>
          <t>TRX0136</t>
        </is>
      </c>
      <c r="B68" s="29" t="n">
        <v>45482</v>
      </c>
      <c r="C68" s="5" t="inlineStr">
        <is>
          <t>CUST049</t>
        </is>
      </c>
      <c r="D68" s="5" t="inlineStr">
        <is>
          <t>Raymond Ross</t>
        </is>
      </c>
      <c r="E68" s="5" t="inlineStr">
        <is>
          <t>P005</t>
        </is>
      </c>
      <c r="F68" s="5" t="inlineStr">
        <is>
          <t>Blender</t>
        </is>
      </c>
      <c r="G68" s="5" t="inlineStr">
        <is>
          <t>Appliances</t>
        </is>
      </c>
      <c r="H68" s="5" t="n">
        <v>4</v>
      </c>
      <c r="I68" s="42" t="n">
        <v>59.99</v>
      </c>
      <c r="J68" s="5" t="inlineStr">
        <is>
          <t>Cash</t>
        </is>
      </c>
      <c r="K68" s="5" t="inlineStr">
        <is>
          <t>South</t>
        </is>
      </c>
      <c r="L68" s="5" t="inlineStr">
        <is>
          <t>Standard</t>
        </is>
      </c>
      <c r="M68" s="29" t="n">
        <v>44509</v>
      </c>
      <c r="N68" s="42" t="n">
        <v>239.96</v>
      </c>
      <c r="O68" s="0">
        <f>TEXT(B68,"yyyy-mm")</f>
        <v/>
      </c>
      <c r="P68" s="43">
        <f>DATEDIF(M68,TODAY(),"Y")</f>
        <v/>
      </c>
      <c r="Q68" s="0">
        <f>UPPER(LEFT(D68,1)&amp;MID(D68,FIND(" ",D68)+1,1))</f>
        <v/>
      </c>
      <c r="R68" s="44">
        <f>N68*90%</f>
        <v/>
      </c>
      <c r="S68" s="18">
        <f>NOW()</f>
        <v/>
      </c>
    </row>
    <row r="69" ht="15.75" customHeight="1" s="8">
      <c r="A69" s="5" t="inlineStr">
        <is>
          <t>TRX0018</t>
        </is>
      </c>
      <c r="B69" s="29" t="n">
        <v>45484</v>
      </c>
      <c r="C69" s="5" t="inlineStr">
        <is>
          <t>CUST013</t>
        </is>
      </c>
      <c r="D69" s="5" t="inlineStr">
        <is>
          <t>Joseph Jackson</t>
        </is>
      </c>
      <c r="E69" s="5" t="inlineStr">
        <is>
          <t>P003</t>
        </is>
      </c>
      <c r="F69" s="5" t="inlineStr">
        <is>
          <t>Headphones</t>
        </is>
      </c>
      <c r="G69" s="5" t="inlineStr">
        <is>
          <t>Electronics</t>
        </is>
      </c>
      <c r="H69" s="5" t="n">
        <v>1</v>
      </c>
      <c r="I69" s="42" t="n">
        <v>149.99</v>
      </c>
      <c r="J69" s="5" t="inlineStr">
        <is>
          <t>Cash</t>
        </is>
      </c>
      <c r="K69" s="5" t="inlineStr">
        <is>
          <t>Central</t>
        </is>
      </c>
      <c r="L69" s="5" t="inlineStr">
        <is>
          <t>Standard</t>
        </is>
      </c>
      <c r="M69" s="29" t="n">
        <v>44909</v>
      </c>
      <c r="N69" s="42" t="n">
        <v>149.99</v>
      </c>
      <c r="O69" s="0">
        <f>TEXT(B69,"yyyy-mm")</f>
        <v/>
      </c>
      <c r="P69" s="43">
        <f>DATEDIF(M69,TODAY(),"Y")</f>
        <v/>
      </c>
      <c r="Q69" s="0">
        <f>UPPER(LEFT(D69,1)&amp;MID(D69,FIND(" ",D69)+1,1))</f>
        <v/>
      </c>
      <c r="R69" s="44">
        <f>N69*90%</f>
        <v/>
      </c>
      <c r="S69" s="18">
        <f>NOW()</f>
        <v/>
      </c>
    </row>
    <row r="70" ht="15.75" customHeight="1" s="8">
      <c r="A70" s="5" t="inlineStr">
        <is>
          <t>TRX0141</t>
        </is>
      </c>
      <c r="B70" s="29" t="n">
        <v>45484</v>
      </c>
      <c r="C70" s="5" t="inlineStr">
        <is>
          <t>CUST033</t>
        </is>
      </c>
      <c r="D70" s="5" t="inlineStr">
        <is>
          <t>Frank Torres</t>
        </is>
      </c>
      <c r="E70" s="5" t="inlineStr">
        <is>
          <t>P007</t>
        </is>
      </c>
      <c r="F70" s="5" t="inlineStr">
        <is>
          <t>Desk</t>
        </is>
      </c>
      <c r="G70" s="5" t="inlineStr">
        <is>
          <t>Furniture</t>
        </is>
      </c>
      <c r="H70" s="5" t="n">
        <v>1</v>
      </c>
      <c r="I70" s="42" t="n">
        <v>299.99</v>
      </c>
      <c r="J70" s="5" t="inlineStr">
        <is>
          <t>Credit Card</t>
        </is>
      </c>
      <c r="K70" s="5" t="inlineStr">
        <is>
          <t>North</t>
        </is>
      </c>
      <c r="L70" s="5" t="inlineStr">
        <is>
          <t>Premium</t>
        </is>
      </c>
      <c r="M70" s="29" t="n">
        <v>44891</v>
      </c>
      <c r="N70" s="42" t="n">
        <v>299.99</v>
      </c>
      <c r="O70" s="0">
        <f>TEXT(B70,"yyyy-mm")</f>
        <v/>
      </c>
      <c r="P70" s="43">
        <f>DATEDIF(M70,TODAY(),"Y")</f>
        <v/>
      </c>
      <c r="Q70" s="0">
        <f>UPPER(LEFT(D70,1)&amp;MID(D70,FIND(" ",D70)+1,1))</f>
        <v/>
      </c>
      <c r="R70" s="44">
        <f>N70*90%</f>
        <v/>
      </c>
      <c r="S70" s="18">
        <f>NOW()</f>
        <v/>
      </c>
    </row>
    <row r="71" ht="15.75" customHeight="1" s="8">
      <c r="A71" s="5" t="inlineStr">
        <is>
          <t>TRX0097</t>
        </is>
      </c>
      <c r="B71" s="29" t="n">
        <v>45487</v>
      </c>
      <c r="C71" s="5" t="inlineStr">
        <is>
          <t>CUST033</t>
        </is>
      </c>
      <c r="D71" s="5" t="inlineStr">
        <is>
          <t>Frank Torres</t>
        </is>
      </c>
      <c r="E71" s="5" t="inlineStr">
        <is>
          <t>P006</t>
        </is>
      </c>
      <c r="F71" s="5" t="inlineStr">
        <is>
          <t>Office Chair</t>
        </is>
      </c>
      <c r="G71" s="5" t="inlineStr">
        <is>
          <t>Furniture</t>
        </is>
      </c>
      <c r="H71" s="5" t="n">
        <v>2</v>
      </c>
      <c r="I71" s="42" t="n">
        <v>199.99</v>
      </c>
      <c r="J71" s="5" t="inlineStr">
        <is>
          <t>Cash</t>
        </is>
      </c>
      <c r="K71" s="5" t="inlineStr">
        <is>
          <t>North</t>
        </is>
      </c>
      <c r="L71" s="5" t="inlineStr">
        <is>
          <t>Basic</t>
        </is>
      </c>
      <c r="M71" s="29" t="n">
        <v>44541</v>
      </c>
      <c r="N71" s="42" t="n">
        <v>399.98</v>
      </c>
      <c r="O71" s="0">
        <f>TEXT(B71,"yyyy-mm")</f>
        <v/>
      </c>
      <c r="P71" s="43">
        <f>DATEDIF(M71,TODAY(),"Y")</f>
        <v/>
      </c>
      <c r="Q71" s="0">
        <f>UPPER(LEFT(D71,1)&amp;MID(D71,FIND(" ",D71)+1,1))</f>
        <v/>
      </c>
      <c r="R71" s="44">
        <f>N71*90%</f>
        <v/>
      </c>
      <c r="S71" s="18">
        <f>NOW()</f>
        <v/>
      </c>
    </row>
    <row r="72" ht="15.75" customHeight="1" s="8">
      <c r="A72" s="5" t="inlineStr">
        <is>
          <t>TRX0169</t>
        </is>
      </c>
      <c r="B72" s="29" t="n">
        <v>45490</v>
      </c>
      <c r="C72" s="5" t="inlineStr">
        <is>
          <t>CUST047</t>
        </is>
      </c>
      <c r="D72" s="5" t="inlineStr">
        <is>
          <t>Gerald Murphy</t>
        </is>
      </c>
      <c r="E72" s="5" t="inlineStr">
        <is>
          <t>P005</t>
        </is>
      </c>
      <c r="F72" s="5" t="inlineStr">
        <is>
          <t>Blender</t>
        </is>
      </c>
      <c r="G72" s="5" t="inlineStr">
        <is>
          <t>Appliances</t>
        </is>
      </c>
      <c r="H72" s="5" t="n">
        <v>3</v>
      </c>
      <c r="I72" s="42" t="n">
        <v>59.99</v>
      </c>
      <c r="J72" s="5" t="inlineStr">
        <is>
          <t>Credit Card</t>
        </is>
      </c>
      <c r="K72" s="5" t="inlineStr">
        <is>
          <t>West</t>
        </is>
      </c>
      <c r="L72" s="5" t="inlineStr">
        <is>
          <t>Basic</t>
        </is>
      </c>
      <c r="M72" s="29" t="n">
        <v>45130</v>
      </c>
      <c r="N72" s="42" t="n">
        <v>179.97</v>
      </c>
      <c r="O72" s="0">
        <f>TEXT(B72,"yyyy-mm")</f>
        <v/>
      </c>
      <c r="P72" s="43">
        <f>DATEDIF(M72,TODAY(),"Y")</f>
        <v/>
      </c>
      <c r="Q72" s="0">
        <f>UPPER(LEFT(D72,1)&amp;MID(D72,FIND(" ",D72)+1,1))</f>
        <v/>
      </c>
      <c r="R72" s="44">
        <f>N72*90%</f>
        <v/>
      </c>
      <c r="S72" s="18">
        <f>NOW()</f>
        <v/>
      </c>
    </row>
    <row r="73" ht="15.75" customHeight="1" s="8">
      <c r="A73" s="5" t="inlineStr">
        <is>
          <t>TRX0216</t>
        </is>
      </c>
      <c r="B73" s="29" t="n">
        <v>45490</v>
      </c>
      <c r="C73" s="5" t="inlineStr">
        <is>
          <t>CUST041</t>
        </is>
      </c>
      <c r="D73" s="5" t="inlineStr">
        <is>
          <t>Peter Richardson</t>
        </is>
      </c>
      <c r="E73" s="5" t="inlineStr">
        <is>
          <t>P008</t>
        </is>
      </c>
      <c r="F73" s="5" t="inlineStr">
        <is>
          <t>Bookshelf</t>
        </is>
      </c>
      <c r="G73" s="5" t="inlineStr">
        <is>
          <t>Furniture</t>
        </is>
      </c>
      <c r="H73" s="5" t="n">
        <v>3</v>
      </c>
      <c r="I73" s="42" t="n">
        <v>149.99</v>
      </c>
      <c r="J73" s="5" t="inlineStr">
        <is>
          <t>Cash</t>
        </is>
      </c>
      <c r="K73" s="5" t="inlineStr">
        <is>
          <t>Central</t>
        </is>
      </c>
      <c r="L73" s="5" t="inlineStr">
        <is>
          <t>Premium</t>
        </is>
      </c>
      <c r="M73" s="29" t="n">
        <v>45199</v>
      </c>
      <c r="N73" s="42" t="n">
        <v>449.97</v>
      </c>
      <c r="O73" s="0">
        <f>TEXT(B73,"yyyy-mm")</f>
        <v/>
      </c>
      <c r="P73" s="43">
        <f>DATEDIF(M73,TODAY(),"Y")</f>
        <v/>
      </c>
      <c r="Q73" s="0">
        <f>UPPER(LEFT(D73,1)&amp;MID(D73,FIND(" ",D73)+1,1))</f>
        <v/>
      </c>
      <c r="R73" s="44">
        <f>N73*90%</f>
        <v/>
      </c>
      <c r="S73" s="18">
        <f>NOW()</f>
        <v/>
      </c>
    </row>
    <row r="74" ht="15.75" customHeight="1" s="8">
      <c r="A74" s="5" t="inlineStr">
        <is>
          <t>TRX0131</t>
        </is>
      </c>
      <c r="B74" s="29" t="n">
        <v>45491</v>
      </c>
      <c r="C74" s="5" t="inlineStr">
        <is>
          <t>CUST026</t>
        </is>
      </c>
      <c r="D74" s="5" t="inlineStr">
        <is>
          <t>Karen Hill</t>
        </is>
      </c>
      <c r="E74" s="5" t="inlineStr">
        <is>
          <t>P006</t>
        </is>
      </c>
      <c r="F74" s="5" t="inlineStr">
        <is>
          <t>Office Chair</t>
        </is>
      </c>
      <c r="G74" s="5" t="inlineStr">
        <is>
          <t>Furniture</t>
        </is>
      </c>
      <c r="H74" s="5" t="n">
        <v>3</v>
      </c>
      <c r="I74" s="42" t="n">
        <v>199.99</v>
      </c>
      <c r="J74" s="5" t="inlineStr">
        <is>
          <t>Cash</t>
        </is>
      </c>
      <c r="K74" s="5" t="inlineStr">
        <is>
          <t>North</t>
        </is>
      </c>
      <c r="L74" s="5" t="inlineStr">
        <is>
          <t>Premium</t>
        </is>
      </c>
      <c r="M74" s="29" t="n">
        <v>45254</v>
      </c>
      <c r="N74" s="42" t="n">
        <v>599.97</v>
      </c>
      <c r="O74" s="0">
        <f>TEXT(B74,"yyyy-mm")</f>
        <v/>
      </c>
      <c r="P74" s="43">
        <f>DATEDIF(M74,TODAY(),"Y")</f>
        <v/>
      </c>
      <c r="Q74" s="0">
        <f>UPPER(LEFT(D74,1)&amp;MID(D74,FIND(" ",D74)+1,1))</f>
        <v/>
      </c>
      <c r="R74" s="44">
        <f>N74*90%</f>
        <v/>
      </c>
      <c r="S74" s="18">
        <f>NOW()</f>
        <v/>
      </c>
    </row>
    <row r="75" ht="15.75" customHeight="1" s="8">
      <c r="A75" s="5" t="inlineStr">
        <is>
          <t>TRX0162</t>
        </is>
      </c>
      <c r="B75" s="29" t="n">
        <v>45496</v>
      </c>
      <c r="C75" s="5" t="inlineStr">
        <is>
          <t>CUST040</t>
        </is>
      </c>
      <c r="D75" s="5" t="inlineStr">
        <is>
          <t>Sharon Butler</t>
        </is>
      </c>
      <c r="E75" s="5" t="inlineStr">
        <is>
          <t>P001</t>
        </is>
      </c>
      <c r="F75" s="5" t="inlineStr">
        <is>
          <t>Laptop</t>
        </is>
      </c>
      <c r="G75" s="5" t="inlineStr">
        <is>
          <t>Electronics</t>
        </is>
      </c>
      <c r="H75" s="5" t="n">
        <v>1</v>
      </c>
      <c r="I75" s="42" t="n">
        <v>899.99</v>
      </c>
      <c r="J75" s="5" t="inlineStr">
        <is>
          <t>Cash</t>
        </is>
      </c>
      <c r="K75" s="5" t="inlineStr">
        <is>
          <t>Central</t>
        </is>
      </c>
      <c r="L75" s="5" t="inlineStr">
        <is>
          <t>Standard</t>
        </is>
      </c>
      <c r="M75" s="29" t="n">
        <v>45179</v>
      </c>
      <c r="N75" s="42" t="n">
        <v>899.99</v>
      </c>
      <c r="O75" s="0">
        <f>TEXT(B75,"yyyy-mm")</f>
        <v/>
      </c>
      <c r="P75" s="43">
        <f>DATEDIF(M75,TODAY(),"Y")</f>
        <v/>
      </c>
      <c r="Q75" s="0">
        <f>UPPER(LEFT(D75,1)&amp;MID(D75,FIND(" ",D75)+1,1))</f>
        <v/>
      </c>
      <c r="R75" s="44">
        <f>N75*90%</f>
        <v/>
      </c>
      <c r="S75" s="18">
        <f>NOW()</f>
        <v/>
      </c>
    </row>
    <row r="76" ht="15.75" customHeight="1" s="8">
      <c r="A76" s="5" t="inlineStr">
        <is>
          <t>TRX0244</t>
        </is>
      </c>
      <c r="B76" s="29" t="n">
        <v>45497</v>
      </c>
      <c r="C76" s="5" t="inlineStr">
        <is>
          <t>CUST013</t>
        </is>
      </c>
      <c r="D76" s="5" t="inlineStr">
        <is>
          <t>Joseph Jackson</t>
        </is>
      </c>
      <c r="E76" s="5" t="inlineStr">
        <is>
          <t>P001</t>
        </is>
      </c>
      <c r="F76" s="5" t="inlineStr">
        <is>
          <t>Laptop</t>
        </is>
      </c>
      <c r="G76" s="5" t="inlineStr">
        <is>
          <t>Electronics</t>
        </is>
      </c>
      <c r="H76" s="5" t="n">
        <v>5</v>
      </c>
      <c r="I76" s="42" t="n">
        <v>899.99</v>
      </c>
      <c r="J76" s="5" t="inlineStr">
        <is>
          <t>Debit Card</t>
        </is>
      </c>
      <c r="K76" s="5" t="inlineStr">
        <is>
          <t>South</t>
        </is>
      </c>
      <c r="L76" s="5" t="inlineStr">
        <is>
          <t>Standard</t>
        </is>
      </c>
      <c r="M76" s="29" t="n">
        <v>44899</v>
      </c>
      <c r="N76" s="42" t="n">
        <v>4499.95</v>
      </c>
      <c r="O76" s="0">
        <f>TEXT(B76,"yyyy-mm")</f>
        <v/>
      </c>
      <c r="P76" s="43">
        <f>DATEDIF(M76,TODAY(),"Y")</f>
        <v/>
      </c>
      <c r="Q76" s="0">
        <f>UPPER(LEFT(D76,1)&amp;MID(D76,FIND(" ",D76)+1,1))</f>
        <v/>
      </c>
      <c r="R76" s="44">
        <f>N76*90%</f>
        <v/>
      </c>
      <c r="S76" s="18">
        <f>NOW()</f>
        <v/>
      </c>
    </row>
    <row r="77" ht="15.75" customHeight="1" s="8">
      <c r="A77" s="5" t="inlineStr">
        <is>
          <t>TRX0006</t>
        </is>
      </c>
      <c r="B77" s="29" t="n">
        <v>45498</v>
      </c>
      <c r="C77" s="5" t="inlineStr">
        <is>
          <t>CUST007</t>
        </is>
      </c>
      <c r="D77" s="5" t="inlineStr">
        <is>
          <t>David Martinez</t>
        </is>
      </c>
      <c r="E77" s="5" t="inlineStr">
        <is>
          <t>P005</t>
        </is>
      </c>
      <c r="F77" s="5" t="inlineStr">
        <is>
          <t>Blender</t>
        </is>
      </c>
      <c r="G77" s="5" t="inlineStr">
        <is>
          <t>Appliances</t>
        </is>
      </c>
      <c r="H77" s="5" t="n">
        <v>2</v>
      </c>
      <c r="I77" s="42" t="n">
        <v>59.99</v>
      </c>
      <c r="J77" s="5" t="inlineStr">
        <is>
          <t>Cash</t>
        </is>
      </c>
      <c r="K77" s="5" t="inlineStr">
        <is>
          <t>North</t>
        </is>
      </c>
      <c r="L77" s="5" t="inlineStr">
        <is>
          <t>Standard</t>
        </is>
      </c>
      <c r="M77" s="29" t="n">
        <v>45152</v>
      </c>
      <c r="N77" s="42" t="n">
        <v>119.98</v>
      </c>
      <c r="O77" s="0">
        <f>TEXT(B77,"yyyy-mm")</f>
        <v/>
      </c>
      <c r="P77" s="43">
        <f>DATEDIF(M77,TODAY(),"Y")</f>
        <v/>
      </c>
      <c r="Q77" s="0">
        <f>UPPER(LEFT(D77,1)&amp;MID(D77,FIND(" ",D77)+1,1))</f>
        <v/>
      </c>
      <c r="R77" s="44">
        <f>N77*90%</f>
        <v/>
      </c>
      <c r="S77" s="18">
        <f>NOW()</f>
        <v/>
      </c>
    </row>
    <row r="78" ht="15.75" customHeight="1" s="8">
      <c r="A78" s="5" t="inlineStr">
        <is>
          <t>TRX0215</t>
        </is>
      </c>
      <c r="B78" s="29" t="n">
        <v>45498</v>
      </c>
      <c r="C78" s="5" t="inlineStr">
        <is>
          <t>CUST047</t>
        </is>
      </c>
      <c r="D78" s="5" t="inlineStr">
        <is>
          <t>Gerald Murphy</t>
        </is>
      </c>
      <c r="E78" s="5" t="inlineStr">
        <is>
          <t>P009</t>
        </is>
      </c>
      <c r="F78" s="5" t="inlineStr">
        <is>
          <t>Monitor</t>
        </is>
      </c>
      <c r="G78" s="5" t="inlineStr">
        <is>
          <t>Electronics</t>
        </is>
      </c>
      <c r="H78" s="5" t="n">
        <v>4</v>
      </c>
      <c r="I78" s="42" t="n">
        <v>249.99</v>
      </c>
      <c r="J78" s="5" t="inlineStr">
        <is>
          <t>Debit Card</t>
        </is>
      </c>
      <c r="K78" s="5" t="inlineStr">
        <is>
          <t>Central</t>
        </is>
      </c>
      <c r="L78" s="5" t="inlineStr">
        <is>
          <t>Standard</t>
        </is>
      </c>
      <c r="M78" s="29" t="n">
        <v>45127</v>
      </c>
      <c r="N78" s="42" t="n">
        <v>999.96</v>
      </c>
      <c r="O78" s="0">
        <f>TEXT(B78,"yyyy-mm")</f>
        <v/>
      </c>
      <c r="P78" s="43">
        <f>DATEDIF(M78,TODAY(),"Y")</f>
        <v/>
      </c>
      <c r="Q78" s="0">
        <f>UPPER(LEFT(D78,1)&amp;MID(D78,FIND(" ",D78)+1,1))</f>
        <v/>
      </c>
      <c r="R78" s="44">
        <f>N78*90%</f>
        <v/>
      </c>
      <c r="S78" s="18">
        <f>NOW()</f>
        <v/>
      </c>
    </row>
    <row r="79" ht="15.75" customHeight="1" s="8">
      <c r="A79" s="5" t="inlineStr">
        <is>
          <t>TRX0080</t>
        </is>
      </c>
      <c r="B79" s="29" t="n">
        <v>45500</v>
      </c>
      <c r="C79" s="5" t="inlineStr">
        <is>
          <t>CUST018</t>
        </is>
      </c>
      <c r="D79" s="5" t="inlineStr">
        <is>
          <t>Barbara Young</t>
        </is>
      </c>
      <c r="E79" s="5" t="inlineStr">
        <is>
          <t>P009</t>
        </is>
      </c>
      <c r="F79" s="5" t="inlineStr">
        <is>
          <t>Monitor</t>
        </is>
      </c>
      <c r="G79" s="5" t="inlineStr">
        <is>
          <t>Electronics</t>
        </is>
      </c>
      <c r="H79" s="5" t="n">
        <v>2</v>
      </c>
      <c r="I79" s="42" t="n">
        <v>249.99</v>
      </c>
      <c r="J79" s="5" t="inlineStr">
        <is>
          <t>Cash</t>
        </is>
      </c>
      <c r="K79" s="5" t="inlineStr">
        <is>
          <t>North</t>
        </is>
      </c>
      <c r="L79" s="5" t="inlineStr">
        <is>
          <t>Premium</t>
        </is>
      </c>
      <c r="M79" s="29" t="n">
        <v>45164</v>
      </c>
      <c r="N79" s="42" t="n">
        <v>499.98</v>
      </c>
      <c r="O79" s="0">
        <f>TEXT(B79,"yyyy-mm")</f>
        <v/>
      </c>
      <c r="P79" s="43">
        <f>DATEDIF(M79,TODAY(),"Y")</f>
        <v/>
      </c>
      <c r="Q79" s="0">
        <f>UPPER(LEFT(D79,1)&amp;MID(D79,FIND(" ",D79)+1,1))</f>
        <v/>
      </c>
      <c r="R79" s="44">
        <f>N79*90%</f>
        <v/>
      </c>
      <c r="S79" s="18">
        <f>NOW()</f>
        <v/>
      </c>
    </row>
    <row r="80" ht="15.75" customHeight="1" s="8">
      <c r="A80" s="5" t="inlineStr">
        <is>
          <t>TRX0228</t>
        </is>
      </c>
      <c r="B80" s="29" t="n">
        <v>45500</v>
      </c>
      <c r="C80" s="5" t="inlineStr">
        <is>
          <t>CUST019</t>
        </is>
      </c>
      <c r="D80" s="5" t="inlineStr">
        <is>
          <t>Daniel King</t>
        </is>
      </c>
      <c r="E80" s="5" t="inlineStr">
        <is>
          <t>P007</t>
        </is>
      </c>
      <c r="F80" s="5" t="inlineStr">
        <is>
          <t>Desk</t>
        </is>
      </c>
      <c r="G80" s="5" t="inlineStr">
        <is>
          <t>Furniture</t>
        </is>
      </c>
      <c r="H80" s="5" t="n">
        <v>1</v>
      </c>
      <c r="I80" s="42" t="n">
        <v>299.99</v>
      </c>
      <c r="J80" s="5" t="inlineStr">
        <is>
          <t>Cash</t>
        </is>
      </c>
      <c r="K80" s="5" t="inlineStr">
        <is>
          <t>South</t>
        </is>
      </c>
      <c r="L80" s="5" t="inlineStr">
        <is>
          <t>Basic</t>
        </is>
      </c>
      <c r="M80" s="29" t="n">
        <v>44982</v>
      </c>
      <c r="N80" s="42" t="n">
        <v>299.99</v>
      </c>
      <c r="O80" s="0">
        <f>TEXT(B80,"yyyy-mm")</f>
        <v/>
      </c>
      <c r="P80" s="43">
        <f>DATEDIF(M80,TODAY(),"Y")</f>
        <v/>
      </c>
      <c r="Q80" s="0">
        <f>UPPER(LEFT(D80,1)&amp;MID(D80,FIND(" ",D80)+1,1))</f>
        <v/>
      </c>
      <c r="R80" s="44">
        <f>N80*90%</f>
        <v/>
      </c>
      <c r="S80" s="18">
        <f>NOW()</f>
        <v/>
      </c>
    </row>
    <row r="81" ht="15.75" customHeight="1" s="8">
      <c r="A81" s="5" t="inlineStr">
        <is>
          <t>TRX0157</t>
        </is>
      </c>
      <c r="B81" s="29" t="n">
        <v>45501</v>
      </c>
      <c r="C81" s="5" t="inlineStr">
        <is>
          <t>CUST025</t>
        </is>
      </c>
      <c r="D81" s="5" t="inlineStr">
        <is>
          <t>Mark Carter</t>
        </is>
      </c>
      <c r="E81" s="5" t="inlineStr">
        <is>
          <t>P010</t>
        </is>
      </c>
      <c r="F81" s="5" t="inlineStr">
        <is>
          <t>Keyboard</t>
        </is>
      </c>
      <c r="G81" s="5" t="inlineStr">
        <is>
          <t>Electronics</t>
        </is>
      </c>
      <c r="H81" s="5" t="n">
        <v>2</v>
      </c>
      <c r="I81" s="42" t="n">
        <v>89.98999999999999</v>
      </c>
      <c r="J81" s="5" t="inlineStr">
        <is>
          <t>PayPal</t>
        </is>
      </c>
      <c r="K81" s="5" t="inlineStr">
        <is>
          <t>South</t>
        </is>
      </c>
      <c r="L81" s="5" t="inlineStr">
        <is>
          <t>Basic</t>
        </is>
      </c>
      <c r="M81" s="29" t="n">
        <v>44976</v>
      </c>
      <c r="N81" s="42" t="n">
        <v>179.98</v>
      </c>
      <c r="O81" s="0">
        <f>TEXT(B81,"yyyy-mm")</f>
        <v/>
      </c>
      <c r="P81" s="43">
        <f>DATEDIF(M81,TODAY(),"Y")</f>
        <v/>
      </c>
      <c r="Q81" s="0">
        <f>UPPER(LEFT(D81,1)&amp;MID(D81,FIND(" ",D81)+1,1))</f>
        <v/>
      </c>
      <c r="R81" s="44">
        <f>N81*90%</f>
        <v/>
      </c>
      <c r="S81" s="18">
        <f>NOW()</f>
        <v/>
      </c>
    </row>
    <row r="82" ht="15.75" customHeight="1" s="8">
      <c r="A82" s="5" t="inlineStr">
        <is>
          <t>TRX0002</t>
        </is>
      </c>
      <c r="B82" s="29" t="n">
        <v>45501</v>
      </c>
      <c r="C82" s="5" t="inlineStr">
        <is>
          <t>CUST019</t>
        </is>
      </c>
      <c r="D82" s="5" t="inlineStr">
        <is>
          <t>Daniel King</t>
        </is>
      </c>
      <c r="E82" s="5" t="inlineStr">
        <is>
          <t>P007</t>
        </is>
      </c>
      <c r="F82" s="5" t="inlineStr">
        <is>
          <t>Desk</t>
        </is>
      </c>
      <c r="G82" s="5" t="inlineStr">
        <is>
          <t>Furniture</t>
        </is>
      </c>
      <c r="H82" s="5" t="n">
        <v>3</v>
      </c>
      <c r="I82" s="42" t="n">
        <v>299.99</v>
      </c>
      <c r="J82" s="5" t="inlineStr">
        <is>
          <t>Cash</t>
        </is>
      </c>
      <c r="K82" s="5" t="inlineStr">
        <is>
          <t>Central</t>
        </is>
      </c>
      <c r="L82" s="5" t="inlineStr">
        <is>
          <t>Basic</t>
        </is>
      </c>
      <c r="M82" s="29" t="n">
        <v>44732</v>
      </c>
      <c r="N82" s="42" t="n">
        <v>899.97</v>
      </c>
      <c r="O82" s="0">
        <f>TEXT(B82,"yyyy-mm")</f>
        <v/>
      </c>
      <c r="P82" s="43">
        <f>DATEDIF(M82,TODAY(),"Y")</f>
        <v/>
      </c>
      <c r="Q82" s="0">
        <f>UPPER(LEFT(D82,1)&amp;MID(D82,FIND(" ",D82)+1,1))</f>
        <v/>
      </c>
      <c r="R82" s="44">
        <f>N82*90%</f>
        <v/>
      </c>
      <c r="S82" s="18">
        <f>NOW()</f>
        <v/>
      </c>
    </row>
    <row r="83" ht="15.75" customHeight="1" s="8">
      <c r="A83" s="5" t="inlineStr">
        <is>
          <t>TRX0217</t>
        </is>
      </c>
      <c r="B83" s="29" t="n">
        <v>45503</v>
      </c>
      <c r="C83" s="5" t="inlineStr">
        <is>
          <t>CUST025</t>
        </is>
      </c>
      <c r="D83" s="5" t="inlineStr">
        <is>
          <t>Mark Carter</t>
        </is>
      </c>
      <c r="E83" s="5" t="inlineStr">
        <is>
          <t>P002</t>
        </is>
      </c>
      <c r="F83" s="5" t="inlineStr">
        <is>
          <t>Smartphone</t>
        </is>
      </c>
      <c r="G83" s="5" t="inlineStr">
        <is>
          <t>Electronics</t>
        </is>
      </c>
      <c r="H83" s="5" t="n">
        <v>2</v>
      </c>
      <c r="I83" s="42" t="n">
        <v>699.99</v>
      </c>
      <c r="J83" s="5" t="inlineStr">
        <is>
          <t>Credit Card</t>
        </is>
      </c>
      <c r="K83" s="5" t="inlineStr">
        <is>
          <t>North</t>
        </is>
      </c>
      <c r="L83" s="5" t="inlineStr">
        <is>
          <t>Premium</t>
        </is>
      </c>
      <c r="M83" s="29" t="n">
        <v>44999</v>
      </c>
      <c r="N83" s="42" t="n">
        <v>1399.98</v>
      </c>
      <c r="O83" s="0">
        <f>TEXT(B83,"yyyy-mm")</f>
        <v/>
      </c>
      <c r="P83" s="43">
        <f>DATEDIF(M83,TODAY(),"Y")</f>
        <v/>
      </c>
      <c r="Q83" s="0">
        <f>UPPER(LEFT(D83,1)&amp;MID(D83,FIND(" ",D83)+1,1))</f>
        <v/>
      </c>
      <c r="R83" s="44">
        <f>N83*90%</f>
        <v/>
      </c>
      <c r="S83" s="18">
        <f>NOW()</f>
        <v/>
      </c>
    </row>
    <row r="84" ht="15.75" customHeight="1" s="8">
      <c r="A84" s="5" t="inlineStr">
        <is>
          <t>TRX0249</t>
        </is>
      </c>
      <c r="B84" s="29" t="n">
        <v>45504</v>
      </c>
      <c r="C84" s="5" t="inlineStr">
        <is>
          <t>CUST030</t>
        </is>
      </c>
      <c r="D84" s="5" t="inlineStr">
        <is>
          <t>Helen Roberts</t>
        </is>
      </c>
      <c r="E84" s="5" t="inlineStr">
        <is>
          <t>P001</t>
        </is>
      </c>
      <c r="F84" s="5" t="inlineStr">
        <is>
          <t>Laptop</t>
        </is>
      </c>
      <c r="G84" s="5" t="inlineStr">
        <is>
          <t>Electronics</t>
        </is>
      </c>
      <c r="H84" s="5" t="n">
        <v>4</v>
      </c>
      <c r="I84" s="42" t="n">
        <v>899.99</v>
      </c>
      <c r="J84" s="5" t="inlineStr">
        <is>
          <t>Debit Card</t>
        </is>
      </c>
      <c r="K84" s="5" t="inlineStr">
        <is>
          <t>South</t>
        </is>
      </c>
      <c r="L84" s="5" t="inlineStr">
        <is>
          <t>Standard</t>
        </is>
      </c>
      <c r="M84" s="29" t="n">
        <v>44523</v>
      </c>
      <c r="N84" s="42" t="n">
        <v>3599.96</v>
      </c>
      <c r="O84" s="0">
        <f>TEXT(B84,"yyyy-mm")</f>
        <v/>
      </c>
      <c r="P84" s="43">
        <f>DATEDIF(M84,TODAY(),"Y")</f>
        <v/>
      </c>
      <c r="Q84" s="0">
        <f>UPPER(LEFT(D84,1)&amp;MID(D84,FIND(" ",D84)+1,1))</f>
        <v/>
      </c>
      <c r="R84" s="44">
        <f>N84*90%</f>
        <v/>
      </c>
      <c r="S84" s="18">
        <f>NOW()</f>
        <v/>
      </c>
    </row>
    <row r="85" ht="15.75" customHeight="1" s="8">
      <c r="A85" s="5" t="inlineStr">
        <is>
          <t>TRX0065</t>
        </is>
      </c>
      <c r="B85" s="29" t="n">
        <v>45509</v>
      </c>
      <c r="C85" s="5" t="inlineStr">
        <is>
          <t>CUST016</t>
        </is>
      </c>
      <c r="D85" s="5" t="inlineStr">
        <is>
          <t>Elizabeth Hall</t>
        </is>
      </c>
      <c r="E85" s="5" t="inlineStr">
        <is>
          <t>P008</t>
        </is>
      </c>
      <c r="F85" s="5" t="inlineStr">
        <is>
          <t>Bookshelf</t>
        </is>
      </c>
      <c r="G85" s="5" t="inlineStr">
        <is>
          <t>Furniture</t>
        </is>
      </c>
      <c r="H85" s="5" t="n">
        <v>2</v>
      </c>
      <c r="I85" s="42" t="n">
        <v>149.99</v>
      </c>
      <c r="J85" s="5" t="inlineStr">
        <is>
          <t>Credit Card</t>
        </is>
      </c>
      <c r="K85" s="5" t="inlineStr">
        <is>
          <t>West</t>
        </is>
      </c>
      <c r="L85" s="5" t="inlineStr">
        <is>
          <t>Basic</t>
        </is>
      </c>
      <c r="M85" s="29" t="n">
        <v>44542</v>
      </c>
      <c r="N85" s="42" t="n">
        <v>299.98</v>
      </c>
      <c r="O85" s="0">
        <f>TEXT(B85,"yyyy-mm")</f>
        <v/>
      </c>
      <c r="P85" s="43">
        <f>DATEDIF(M85,TODAY(),"Y")</f>
        <v/>
      </c>
      <c r="Q85" s="0">
        <f>UPPER(LEFT(D85,1)&amp;MID(D85,FIND(" ",D85)+1,1))</f>
        <v/>
      </c>
      <c r="R85" s="44">
        <f>N85*90%</f>
        <v/>
      </c>
      <c r="S85" s="18">
        <f>NOW()</f>
        <v/>
      </c>
    </row>
    <row r="86" ht="15.75" customHeight="1" s="8">
      <c r="A86" s="5" t="inlineStr">
        <is>
          <t>TRX0176</t>
        </is>
      </c>
      <c r="B86" s="29" t="n">
        <v>45510</v>
      </c>
      <c r="C86" s="5" t="inlineStr">
        <is>
          <t>CUST044</t>
        </is>
      </c>
      <c r="D86" s="5" t="inlineStr">
        <is>
          <t>Cynthia Price</t>
        </is>
      </c>
      <c r="E86" s="5" t="inlineStr">
        <is>
          <t>P008</t>
        </is>
      </c>
      <c r="F86" s="5" t="inlineStr">
        <is>
          <t>Bookshelf</t>
        </is>
      </c>
      <c r="G86" s="5" t="inlineStr">
        <is>
          <t>Furniture</t>
        </is>
      </c>
      <c r="H86" s="5" t="n">
        <v>2</v>
      </c>
      <c r="I86" s="42" t="n">
        <v>149.99</v>
      </c>
      <c r="J86" s="5" t="inlineStr">
        <is>
          <t>Debit Card</t>
        </is>
      </c>
      <c r="K86" s="5" t="inlineStr">
        <is>
          <t>East</t>
        </is>
      </c>
      <c r="L86" s="5" t="inlineStr">
        <is>
          <t>Standard</t>
        </is>
      </c>
      <c r="M86" s="29" t="n">
        <v>44667</v>
      </c>
      <c r="N86" s="42" t="n">
        <v>299.98</v>
      </c>
      <c r="O86" s="0">
        <f>TEXT(B86,"yyyy-mm")</f>
        <v/>
      </c>
      <c r="P86" s="43">
        <f>DATEDIF(M86,TODAY(),"Y")</f>
        <v/>
      </c>
      <c r="Q86" s="0">
        <f>UPPER(LEFT(D86,1)&amp;MID(D86,FIND(" ",D86)+1,1))</f>
        <v/>
      </c>
      <c r="R86" s="44">
        <f>N86*90%</f>
        <v/>
      </c>
      <c r="S86" s="18">
        <f>NOW()</f>
        <v/>
      </c>
    </row>
    <row r="87" ht="15.75" customHeight="1" s="8">
      <c r="A87" s="5" t="inlineStr">
        <is>
          <t>TRX0101</t>
        </is>
      </c>
      <c r="B87" s="29" t="n">
        <v>45513</v>
      </c>
      <c r="C87" s="5" t="inlineStr">
        <is>
          <t>CUST010</t>
        </is>
      </c>
      <c r="D87" s="5" t="inlineStr">
        <is>
          <t>Maria Garcia</t>
        </is>
      </c>
      <c r="E87" s="5" t="inlineStr">
        <is>
          <t>P010</t>
        </is>
      </c>
      <c r="F87" s="5" t="inlineStr">
        <is>
          <t>Keyboard</t>
        </is>
      </c>
      <c r="G87" s="5" t="inlineStr">
        <is>
          <t>Electronics</t>
        </is>
      </c>
      <c r="H87" s="5" t="n">
        <v>1</v>
      </c>
      <c r="I87" s="42" t="n">
        <v>89.98999999999999</v>
      </c>
      <c r="J87" s="5" t="inlineStr">
        <is>
          <t>Credit Card</t>
        </is>
      </c>
      <c r="K87" s="5" t="inlineStr">
        <is>
          <t>North</t>
        </is>
      </c>
      <c r="L87" s="5" t="inlineStr">
        <is>
          <t>Standard</t>
        </is>
      </c>
      <c r="M87" s="29" t="n">
        <v>45393</v>
      </c>
      <c r="N87" s="42" t="n">
        <v>89.98999999999999</v>
      </c>
      <c r="O87" s="0">
        <f>TEXT(B87,"yyyy-mm")</f>
        <v/>
      </c>
      <c r="P87" s="43">
        <f>DATEDIF(M87,TODAY(),"Y")</f>
        <v/>
      </c>
      <c r="Q87" s="0">
        <f>UPPER(LEFT(D87,1)&amp;MID(D87,FIND(" ",D87)+1,1))</f>
        <v/>
      </c>
      <c r="R87" s="44">
        <f>N87*90%</f>
        <v/>
      </c>
      <c r="S87" s="18">
        <f>NOW()</f>
        <v/>
      </c>
    </row>
    <row r="88" ht="15.75" customHeight="1" s="8">
      <c r="A88" s="5" t="inlineStr">
        <is>
          <t>TRX0205</t>
        </is>
      </c>
      <c r="B88" s="29" t="n">
        <v>45515</v>
      </c>
      <c r="C88" s="5" t="inlineStr">
        <is>
          <t>CUST025</t>
        </is>
      </c>
      <c r="D88" s="5" t="inlineStr">
        <is>
          <t>Mark Carter</t>
        </is>
      </c>
      <c r="E88" s="5" t="inlineStr">
        <is>
          <t>P007</t>
        </is>
      </c>
      <c r="F88" s="5" t="inlineStr">
        <is>
          <t>Desk</t>
        </is>
      </c>
      <c r="G88" s="5" t="inlineStr">
        <is>
          <t>Furniture</t>
        </is>
      </c>
      <c r="H88" s="5" t="n">
        <v>5</v>
      </c>
      <c r="I88" s="42" t="n">
        <v>299.99</v>
      </c>
      <c r="J88" s="5" t="inlineStr">
        <is>
          <t>Credit Card</t>
        </is>
      </c>
      <c r="K88" s="5" t="inlineStr">
        <is>
          <t>North</t>
        </is>
      </c>
      <c r="L88" s="5" t="inlineStr">
        <is>
          <t>Basic</t>
        </is>
      </c>
      <c r="M88" s="29" t="n">
        <v>44965</v>
      </c>
      <c r="N88" s="42" t="n">
        <v>1499.95</v>
      </c>
      <c r="O88" s="0">
        <f>TEXT(B88,"yyyy-mm")</f>
        <v/>
      </c>
      <c r="P88" s="43">
        <f>DATEDIF(M88,TODAY(),"Y")</f>
        <v/>
      </c>
      <c r="Q88" s="0">
        <f>UPPER(LEFT(D88,1)&amp;MID(D88,FIND(" ",D88)+1,1))</f>
        <v/>
      </c>
      <c r="R88" s="44">
        <f>N88*90%</f>
        <v/>
      </c>
      <c r="S88" s="18">
        <f>NOW()</f>
        <v/>
      </c>
    </row>
    <row r="89" ht="15.75" customHeight="1" s="8">
      <c r="A89" s="5" t="inlineStr">
        <is>
          <t>TRX0020</t>
        </is>
      </c>
      <c r="B89" s="29" t="n">
        <v>45517</v>
      </c>
      <c r="C89" s="5" t="inlineStr">
        <is>
          <t>CUST007</t>
        </is>
      </c>
      <c r="D89" s="5" t="inlineStr">
        <is>
          <t>David Martinez</t>
        </is>
      </c>
      <c r="E89" s="5" t="inlineStr">
        <is>
          <t>P003</t>
        </is>
      </c>
      <c r="F89" s="5" t="inlineStr">
        <is>
          <t>Headphones</t>
        </is>
      </c>
      <c r="G89" s="5" t="inlineStr">
        <is>
          <t>Electronics</t>
        </is>
      </c>
      <c r="H89" s="5" t="n">
        <v>4</v>
      </c>
      <c r="I89" s="42" t="n">
        <v>149.99</v>
      </c>
      <c r="J89" s="5" t="inlineStr">
        <is>
          <t>Debit Card</t>
        </is>
      </c>
      <c r="K89" s="5" t="inlineStr">
        <is>
          <t>South</t>
        </is>
      </c>
      <c r="L89" s="5" t="inlineStr">
        <is>
          <t>Premium</t>
        </is>
      </c>
      <c r="M89" s="29" t="n">
        <v>44820</v>
      </c>
      <c r="N89" s="42" t="n">
        <v>599.96</v>
      </c>
      <c r="O89" s="0">
        <f>TEXT(B89,"yyyy-mm")</f>
        <v/>
      </c>
      <c r="P89" s="43">
        <f>DATEDIF(M89,TODAY(),"Y")</f>
        <v/>
      </c>
      <c r="Q89" s="0">
        <f>UPPER(LEFT(D89,1)&amp;MID(D89,FIND(" ",D89)+1,1))</f>
        <v/>
      </c>
      <c r="R89" s="44">
        <f>N89*90%</f>
        <v/>
      </c>
      <c r="S89" s="18">
        <f>NOW()</f>
        <v/>
      </c>
    </row>
    <row r="90" ht="15.75" customHeight="1" s="8">
      <c r="A90" s="5" t="inlineStr">
        <is>
          <t>TRX0075</t>
        </is>
      </c>
      <c r="B90" s="29" t="n">
        <v>45517</v>
      </c>
      <c r="C90" s="5" t="inlineStr">
        <is>
          <t>CUST020</t>
        </is>
      </c>
      <c r="D90" s="5" t="inlineStr">
        <is>
          <t>Margaret Wright</t>
        </is>
      </c>
      <c r="E90" s="5" t="inlineStr">
        <is>
          <t>P009</t>
        </is>
      </c>
      <c r="F90" s="5" t="inlineStr">
        <is>
          <t>Monitor</t>
        </is>
      </c>
      <c r="G90" s="5" t="inlineStr">
        <is>
          <t>Electronics</t>
        </is>
      </c>
      <c r="H90" s="5" t="n">
        <v>5</v>
      </c>
      <c r="I90" s="42" t="n">
        <v>249.99</v>
      </c>
      <c r="J90" s="5" t="inlineStr">
        <is>
          <t>PayPal</t>
        </is>
      </c>
      <c r="K90" s="5" t="inlineStr">
        <is>
          <t>East</t>
        </is>
      </c>
      <c r="L90" s="5" t="inlineStr">
        <is>
          <t>Premium</t>
        </is>
      </c>
      <c r="M90" s="29" t="n">
        <v>44782</v>
      </c>
      <c r="N90" s="42" t="n">
        <v>1249.95</v>
      </c>
      <c r="O90" s="0">
        <f>TEXT(B90,"yyyy-mm")</f>
        <v/>
      </c>
      <c r="P90" s="43">
        <f>DATEDIF(M90,TODAY(),"Y")</f>
        <v/>
      </c>
      <c r="Q90" s="0">
        <f>UPPER(LEFT(D90,1)&amp;MID(D90,FIND(" ",D90)+1,1))</f>
        <v/>
      </c>
      <c r="R90" s="44">
        <f>N90*90%</f>
        <v/>
      </c>
      <c r="S90" s="18">
        <f>NOW()</f>
        <v/>
      </c>
    </row>
    <row r="91" ht="15.75" customHeight="1" s="8">
      <c r="A91" s="5" t="inlineStr">
        <is>
          <t>TRX0098</t>
        </is>
      </c>
      <c r="B91" s="29" t="n">
        <v>45517</v>
      </c>
      <c r="C91" s="5" t="inlineStr">
        <is>
          <t>CUST026</t>
        </is>
      </c>
      <c r="D91" s="5" t="inlineStr">
        <is>
          <t>Karen Hill</t>
        </is>
      </c>
      <c r="E91" s="5" t="inlineStr">
        <is>
          <t>P009</t>
        </is>
      </c>
      <c r="F91" s="5" t="inlineStr">
        <is>
          <t>Monitor</t>
        </is>
      </c>
      <c r="G91" s="5" t="inlineStr">
        <is>
          <t>Electronics</t>
        </is>
      </c>
      <c r="H91" s="5" t="n">
        <v>3</v>
      </c>
      <c r="I91" s="42" t="n">
        <v>249.99</v>
      </c>
      <c r="J91" s="5" t="inlineStr">
        <is>
          <t>PayPal</t>
        </is>
      </c>
      <c r="K91" s="5" t="inlineStr">
        <is>
          <t>North</t>
        </is>
      </c>
      <c r="L91" s="5" t="inlineStr">
        <is>
          <t>Premium</t>
        </is>
      </c>
      <c r="M91" s="29" t="n">
        <v>44465</v>
      </c>
      <c r="N91" s="42" t="n">
        <v>749.97</v>
      </c>
      <c r="O91" s="0">
        <f>TEXT(B91,"yyyy-mm")</f>
        <v/>
      </c>
      <c r="P91" s="43">
        <f>DATEDIF(M91,TODAY(),"Y")</f>
        <v/>
      </c>
      <c r="Q91" s="0">
        <f>UPPER(LEFT(D91,1)&amp;MID(D91,FIND(" ",D91)+1,1))</f>
        <v/>
      </c>
      <c r="R91" s="44">
        <f>N91*90%</f>
        <v/>
      </c>
      <c r="S91" s="18">
        <f>NOW()</f>
        <v/>
      </c>
    </row>
    <row r="92" ht="15.75" customHeight="1" s="8">
      <c r="A92" s="5" t="inlineStr">
        <is>
          <t>TRX0247</t>
        </is>
      </c>
      <c r="B92" s="29" t="n">
        <v>45517</v>
      </c>
      <c r="C92" s="5" t="inlineStr">
        <is>
          <t>CUST046</t>
        </is>
      </c>
      <c r="D92" s="5" t="inlineStr">
        <is>
          <t>Kathleen Bennett</t>
        </is>
      </c>
      <c r="E92" s="5" t="inlineStr">
        <is>
          <t>P006</t>
        </is>
      </c>
      <c r="F92" s="5" t="inlineStr">
        <is>
          <t>Office Chair</t>
        </is>
      </c>
      <c r="G92" s="5" t="inlineStr">
        <is>
          <t>Furniture</t>
        </is>
      </c>
      <c r="H92" s="5" t="n">
        <v>4</v>
      </c>
      <c r="I92" s="42" t="n">
        <v>199.99</v>
      </c>
      <c r="J92" s="5" t="inlineStr">
        <is>
          <t>Cash</t>
        </is>
      </c>
      <c r="K92" s="5" t="inlineStr">
        <is>
          <t>North</t>
        </is>
      </c>
      <c r="L92" s="5" t="inlineStr">
        <is>
          <t>Standard</t>
        </is>
      </c>
      <c r="M92" s="29" t="n">
        <v>44458</v>
      </c>
      <c r="N92" s="42" t="n">
        <v>799.96</v>
      </c>
      <c r="O92" s="0">
        <f>TEXT(B92,"yyyy-mm")</f>
        <v/>
      </c>
      <c r="P92" s="43">
        <f>DATEDIF(M92,TODAY(),"Y")</f>
        <v/>
      </c>
      <c r="Q92" s="0">
        <f>UPPER(LEFT(D92,1)&amp;MID(D92,FIND(" ",D92)+1,1))</f>
        <v/>
      </c>
      <c r="R92" s="44">
        <f>N92*90%</f>
        <v/>
      </c>
      <c r="S92" s="18">
        <f>NOW()</f>
        <v/>
      </c>
    </row>
    <row r="93" ht="15.75" customHeight="1" s="8">
      <c r="A93" s="5" t="inlineStr">
        <is>
          <t>TRX0027</t>
        </is>
      </c>
      <c r="B93" s="29" t="n">
        <v>45519</v>
      </c>
      <c r="C93" s="5" t="inlineStr">
        <is>
          <t>CUST028</t>
        </is>
      </c>
      <c r="D93" s="5" t="inlineStr">
        <is>
          <t>Betty Campbell</t>
        </is>
      </c>
      <c r="E93" s="5" t="inlineStr">
        <is>
          <t>P006</t>
        </is>
      </c>
      <c r="F93" s="5" t="inlineStr">
        <is>
          <t>Office Chair</t>
        </is>
      </c>
      <c r="G93" s="5" t="inlineStr">
        <is>
          <t>Furniture</t>
        </is>
      </c>
      <c r="H93" s="5" t="n">
        <v>5</v>
      </c>
      <c r="I93" s="42" t="n">
        <v>199.99</v>
      </c>
      <c r="J93" s="5" t="inlineStr">
        <is>
          <t>Cash</t>
        </is>
      </c>
      <c r="K93" s="5" t="inlineStr">
        <is>
          <t>North</t>
        </is>
      </c>
      <c r="L93" s="5" t="inlineStr">
        <is>
          <t>Premium</t>
        </is>
      </c>
      <c r="M93" s="29" t="n">
        <v>44991</v>
      </c>
      <c r="N93" s="42" t="n">
        <v>999.95</v>
      </c>
      <c r="O93" s="0">
        <f>TEXT(B93,"yyyy-mm")</f>
        <v/>
      </c>
      <c r="P93" s="43">
        <f>DATEDIF(M93,TODAY(),"Y")</f>
        <v/>
      </c>
      <c r="Q93" s="0">
        <f>UPPER(LEFT(D93,1)&amp;MID(D93,FIND(" ",D93)+1,1))</f>
        <v/>
      </c>
      <c r="R93" s="44">
        <f>N93*90%</f>
        <v/>
      </c>
      <c r="S93" s="18">
        <f>NOW()</f>
        <v/>
      </c>
    </row>
    <row r="94" ht="15.75" customHeight="1" s="8">
      <c r="A94" s="5" t="inlineStr">
        <is>
          <t>TRX0140</t>
        </is>
      </c>
      <c r="B94" s="29" t="n">
        <v>45522</v>
      </c>
      <c r="C94" s="5" t="inlineStr">
        <is>
          <t>CUST025</t>
        </is>
      </c>
      <c r="D94" s="5" t="inlineStr">
        <is>
          <t>Mark Carter</t>
        </is>
      </c>
      <c r="E94" s="5" t="inlineStr">
        <is>
          <t>P010</t>
        </is>
      </c>
      <c r="F94" s="5" t="inlineStr">
        <is>
          <t>Keyboard</t>
        </is>
      </c>
      <c r="G94" s="5" t="inlineStr">
        <is>
          <t>Electronics</t>
        </is>
      </c>
      <c r="H94" s="5" t="n">
        <v>2</v>
      </c>
      <c r="I94" s="42" t="n">
        <v>89.98999999999999</v>
      </c>
      <c r="J94" s="5" t="inlineStr">
        <is>
          <t>Cash</t>
        </is>
      </c>
      <c r="K94" s="5" t="inlineStr">
        <is>
          <t>East</t>
        </is>
      </c>
      <c r="L94" s="5" t="inlineStr">
        <is>
          <t>Premium</t>
        </is>
      </c>
      <c r="M94" s="29" t="n">
        <v>44972</v>
      </c>
      <c r="N94" s="42" t="n">
        <v>179.98</v>
      </c>
      <c r="O94" s="0">
        <f>TEXT(B94,"yyyy-mm")</f>
        <v/>
      </c>
      <c r="P94" s="43">
        <f>DATEDIF(M94,TODAY(),"Y")</f>
        <v/>
      </c>
      <c r="Q94" s="0">
        <f>UPPER(LEFT(D94,1)&amp;MID(D94,FIND(" ",D94)+1,1))</f>
        <v/>
      </c>
      <c r="R94" s="44">
        <f>N94*90%</f>
        <v/>
      </c>
      <c r="S94" s="18">
        <f>NOW()</f>
        <v/>
      </c>
    </row>
    <row r="95" ht="15.75" customHeight="1" s="8">
      <c r="A95" s="5" t="inlineStr">
        <is>
          <t>TRX0132</t>
        </is>
      </c>
      <c r="B95" s="29" t="n">
        <v>45523</v>
      </c>
      <c r="C95" s="5" t="inlineStr">
        <is>
          <t>CUST047</t>
        </is>
      </c>
      <c r="D95" s="5" t="inlineStr">
        <is>
          <t>Gerald Murphy</t>
        </is>
      </c>
      <c r="E95" s="5" t="inlineStr">
        <is>
          <t>P001</t>
        </is>
      </c>
      <c r="F95" s="5" t="inlineStr">
        <is>
          <t>Laptop</t>
        </is>
      </c>
      <c r="G95" s="5" t="inlineStr">
        <is>
          <t>Electronics</t>
        </is>
      </c>
      <c r="H95" s="5" t="n">
        <v>5</v>
      </c>
      <c r="I95" s="42" t="n">
        <v>899.99</v>
      </c>
      <c r="J95" s="5" t="inlineStr">
        <is>
          <t>Debit Card</t>
        </is>
      </c>
      <c r="K95" s="5" t="inlineStr">
        <is>
          <t>East</t>
        </is>
      </c>
      <c r="L95" s="5" t="inlineStr">
        <is>
          <t>Basic</t>
        </is>
      </c>
      <c r="M95" s="29" t="n">
        <v>44526</v>
      </c>
      <c r="N95" s="42" t="n">
        <v>4499.95</v>
      </c>
      <c r="O95" s="0">
        <f>TEXT(B95,"yyyy-mm")</f>
        <v/>
      </c>
      <c r="P95" s="43">
        <f>DATEDIF(M95,TODAY(),"Y")</f>
        <v/>
      </c>
      <c r="Q95" s="0">
        <f>UPPER(LEFT(D95,1)&amp;MID(D95,FIND(" ",D95)+1,1))</f>
        <v/>
      </c>
      <c r="R95" s="44">
        <f>N95*90%</f>
        <v/>
      </c>
      <c r="S95" s="18">
        <f>NOW()</f>
        <v/>
      </c>
    </row>
    <row r="96" ht="15.75" customHeight="1" s="8">
      <c r="A96" s="5" t="inlineStr">
        <is>
          <t>TRX0031</t>
        </is>
      </c>
      <c r="B96" s="29" t="n">
        <v>45523</v>
      </c>
      <c r="C96" s="5" t="inlineStr">
        <is>
          <t>CUST036</t>
        </is>
      </c>
      <c r="D96" s="5" t="inlineStr">
        <is>
          <t>Nancy Collins</t>
        </is>
      </c>
      <c r="E96" s="5" t="inlineStr">
        <is>
          <t>P003</t>
        </is>
      </c>
      <c r="F96" s="5" t="inlineStr">
        <is>
          <t>Headphones</t>
        </is>
      </c>
      <c r="G96" s="5" t="inlineStr">
        <is>
          <t>Electronics</t>
        </is>
      </c>
      <c r="H96" s="5" t="n">
        <v>3</v>
      </c>
      <c r="I96" s="42" t="n">
        <v>149.99</v>
      </c>
      <c r="J96" s="5" t="inlineStr">
        <is>
          <t>PayPal</t>
        </is>
      </c>
      <c r="K96" s="5" t="inlineStr">
        <is>
          <t>East</t>
        </is>
      </c>
      <c r="L96" s="5" t="inlineStr">
        <is>
          <t>Basic</t>
        </is>
      </c>
      <c r="M96" s="29" t="n">
        <v>44574</v>
      </c>
      <c r="N96" s="42" t="n">
        <v>449.97</v>
      </c>
      <c r="O96" s="0">
        <f>TEXT(B96,"yyyy-mm")</f>
        <v/>
      </c>
      <c r="P96" s="43">
        <f>DATEDIF(M96,TODAY(),"Y")</f>
        <v/>
      </c>
      <c r="Q96" s="0">
        <f>UPPER(LEFT(D96,1)&amp;MID(D96,FIND(" ",D96)+1,1))</f>
        <v/>
      </c>
      <c r="R96" s="44">
        <f>N96*90%</f>
        <v/>
      </c>
      <c r="S96" s="18">
        <f>NOW()</f>
        <v/>
      </c>
    </row>
    <row r="97" ht="15.75" customHeight="1" s="8">
      <c r="A97" s="5" t="inlineStr">
        <is>
          <t>TRX0236</t>
        </is>
      </c>
      <c r="B97" s="29" t="n">
        <v>45526</v>
      </c>
      <c r="C97" s="5" t="inlineStr">
        <is>
          <t>CUST044</t>
        </is>
      </c>
      <c r="D97" s="5" t="inlineStr">
        <is>
          <t>Cynthia Price</t>
        </is>
      </c>
      <c r="E97" s="5" t="inlineStr">
        <is>
          <t>P008</t>
        </is>
      </c>
      <c r="F97" s="5" t="inlineStr">
        <is>
          <t>Bookshelf</t>
        </is>
      </c>
      <c r="G97" s="5" t="inlineStr">
        <is>
          <t>Furniture</t>
        </is>
      </c>
      <c r="H97" s="5" t="n">
        <v>5</v>
      </c>
      <c r="I97" s="42" t="n">
        <v>149.99</v>
      </c>
      <c r="J97" s="5" t="inlineStr">
        <is>
          <t>Credit Card</t>
        </is>
      </c>
      <c r="K97" s="5" t="inlineStr">
        <is>
          <t>Central</t>
        </is>
      </c>
      <c r="L97" s="5" t="inlineStr">
        <is>
          <t>Basic</t>
        </is>
      </c>
      <c r="M97" s="29" t="n">
        <v>45310</v>
      </c>
      <c r="N97" s="42" t="n">
        <v>749.95</v>
      </c>
      <c r="O97" s="0">
        <f>TEXT(B97,"yyyy-mm")</f>
        <v/>
      </c>
      <c r="P97" s="43">
        <f>DATEDIF(M97,TODAY(),"Y")</f>
        <v/>
      </c>
      <c r="Q97" s="0">
        <f>UPPER(LEFT(D97,1)&amp;MID(D97,FIND(" ",D97)+1,1))</f>
        <v/>
      </c>
      <c r="R97" s="44">
        <f>N97*90%</f>
        <v/>
      </c>
      <c r="S97" s="18">
        <f>NOW()</f>
        <v/>
      </c>
    </row>
    <row r="98" ht="15.75" customHeight="1" s="8">
      <c r="A98" s="5" t="inlineStr">
        <is>
          <t>TRX0001</t>
        </is>
      </c>
      <c r="B98" s="29" t="n">
        <v>45528</v>
      </c>
      <c r="C98" s="5" t="inlineStr">
        <is>
          <t>CUST039</t>
        </is>
      </c>
      <c r="D98" s="5" t="inlineStr">
        <is>
          <t>Lawrence Reed</t>
        </is>
      </c>
      <c r="E98" s="5" t="inlineStr">
        <is>
          <t>P004</t>
        </is>
      </c>
      <c r="F98" s="5" t="inlineStr">
        <is>
          <t>Coffee Maker</t>
        </is>
      </c>
      <c r="G98" s="5" t="inlineStr">
        <is>
          <t>Appliances</t>
        </is>
      </c>
      <c r="H98" s="5" t="n">
        <v>3</v>
      </c>
      <c r="I98" s="42" t="n">
        <v>79.98999999999999</v>
      </c>
      <c r="J98" s="5" t="inlineStr">
        <is>
          <t>Cash</t>
        </is>
      </c>
      <c r="K98" s="5" t="inlineStr">
        <is>
          <t>Central</t>
        </is>
      </c>
      <c r="L98" s="5" t="inlineStr">
        <is>
          <t>Premium</t>
        </is>
      </c>
      <c r="M98" s="29" t="n">
        <v>44779</v>
      </c>
      <c r="N98" s="42" t="n">
        <v>239.97</v>
      </c>
      <c r="O98" s="0">
        <f>TEXT(B98,"yyyy-mm")</f>
        <v/>
      </c>
      <c r="P98" s="43">
        <f>DATEDIF(M98,TODAY(),"Y")</f>
        <v/>
      </c>
      <c r="Q98" s="0">
        <f>UPPER(LEFT(D98,1)&amp;MID(D98,FIND(" ",D98)+1,1))</f>
        <v/>
      </c>
      <c r="R98" s="44">
        <f>N98*90%</f>
        <v/>
      </c>
      <c r="S98" s="18">
        <f>NOW()</f>
        <v/>
      </c>
    </row>
    <row r="99" ht="15.75" customHeight="1" s="8">
      <c r="A99" s="5" t="inlineStr">
        <is>
          <t>TRX0037</t>
        </is>
      </c>
      <c r="B99" s="29" t="n">
        <v>45528</v>
      </c>
      <c r="C99" s="5" t="inlineStr">
        <is>
          <t>CUST035</t>
        </is>
      </c>
      <c r="D99" s="5" t="inlineStr">
        <is>
          <t>Harry Morgan</t>
        </is>
      </c>
      <c r="E99" s="5" t="inlineStr">
        <is>
          <t>P009</t>
        </is>
      </c>
      <c r="F99" s="5" t="inlineStr">
        <is>
          <t>Monitor</t>
        </is>
      </c>
      <c r="G99" s="5" t="inlineStr">
        <is>
          <t>Electronics</t>
        </is>
      </c>
      <c r="H99" s="5" t="n">
        <v>2</v>
      </c>
      <c r="I99" s="42" t="n">
        <v>249.99</v>
      </c>
      <c r="J99" s="5" t="inlineStr">
        <is>
          <t>Cash</t>
        </is>
      </c>
      <c r="K99" s="5" t="inlineStr">
        <is>
          <t>South</t>
        </is>
      </c>
      <c r="L99" s="5" t="inlineStr">
        <is>
          <t>Standard</t>
        </is>
      </c>
      <c r="M99" s="29" t="n">
        <v>44572</v>
      </c>
      <c r="N99" s="42" t="n">
        <v>499.98</v>
      </c>
      <c r="O99" s="0">
        <f>TEXT(B99,"yyyy-mm")</f>
        <v/>
      </c>
      <c r="P99" s="43">
        <f>DATEDIF(M99,TODAY(),"Y")</f>
        <v/>
      </c>
      <c r="Q99" s="0">
        <f>UPPER(LEFT(D99,1)&amp;MID(D99,FIND(" ",D99)+1,1))</f>
        <v/>
      </c>
      <c r="R99" s="44">
        <f>N99*90%</f>
        <v/>
      </c>
      <c r="S99" s="18">
        <f>NOW()</f>
        <v/>
      </c>
    </row>
    <row r="100" ht="15.75" customHeight="1" s="8">
      <c r="A100" s="5" t="inlineStr">
        <is>
          <t>TRX0058</t>
        </is>
      </c>
      <c r="B100" s="29" t="n">
        <v>45532</v>
      </c>
      <c r="C100" s="5" t="inlineStr">
        <is>
          <t>CUST047</t>
        </is>
      </c>
      <c r="D100" s="5" t="inlineStr">
        <is>
          <t>Gerald Murphy</t>
        </is>
      </c>
      <c r="E100" s="5" t="inlineStr">
        <is>
          <t>P002</t>
        </is>
      </c>
      <c r="F100" s="5" t="inlineStr">
        <is>
          <t>Smartphone</t>
        </is>
      </c>
      <c r="G100" s="5" t="inlineStr">
        <is>
          <t>Electronics</t>
        </is>
      </c>
      <c r="H100" s="5" t="n">
        <v>1</v>
      </c>
      <c r="I100" s="42" t="n">
        <v>699.99</v>
      </c>
      <c r="J100" s="5" t="inlineStr">
        <is>
          <t>Cash</t>
        </is>
      </c>
      <c r="K100" s="5" t="inlineStr">
        <is>
          <t>Central</t>
        </is>
      </c>
      <c r="L100" s="5" t="inlineStr">
        <is>
          <t>Premium</t>
        </is>
      </c>
      <c r="M100" s="29" t="n">
        <v>44497</v>
      </c>
      <c r="N100" s="42" t="n">
        <v>699.99</v>
      </c>
      <c r="O100" s="0">
        <f>TEXT(B100,"yyyy-mm")</f>
        <v/>
      </c>
      <c r="P100" s="43">
        <f>DATEDIF(M100,TODAY(),"Y")</f>
        <v/>
      </c>
      <c r="Q100" s="0">
        <f>UPPER(LEFT(D100,1)&amp;MID(D100,FIND(" ",D100)+1,1))</f>
        <v/>
      </c>
      <c r="R100" s="44">
        <f>N100*90%</f>
        <v/>
      </c>
      <c r="S100" s="18">
        <f>NOW()</f>
        <v/>
      </c>
    </row>
    <row r="101" ht="15.75" customHeight="1" s="8">
      <c r="A101" s="5" t="inlineStr">
        <is>
          <t>TRX0170</t>
        </is>
      </c>
      <c r="B101" s="29" t="n">
        <v>45532</v>
      </c>
      <c r="C101" s="5" t="inlineStr">
        <is>
          <t>CUST034</t>
        </is>
      </c>
      <c r="D101" s="5" t="inlineStr">
        <is>
          <t>Carol Evans</t>
        </is>
      </c>
      <c r="E101" s="5" t="inlineStr">
        <is>
          <t>P003</t>
        </is>
      </c>
      <c r="F101" s="5" t="inlineStr">
        <is>
          <t>Headphones</t>
        </is>
      </c>
      <c r="G101" s="5" t="inlineStr">
        <is>
          <t>Electronics</t>
        </is>
      </c>
      <c r="H101" s="5" t="n">
        <v>3</v>
      </c>
      <c r="I101" s="42" t="n">
        <v>149.99</v>
      </c>
      <c r="J101" s="5" t="inlineStr">
        <is>
          <t>Cash</t>
        </is>
      </c>
      <c r="K101" s="5" t="inlineStr">
        <is>
          <t>West</t>
        </is>
      </c>
      <c r="L101" s="5" t="inlineStr">
        <is>
          <t>Premium</t>
        </is>
      </c>
      <c r="M101" s="29" t="n">
        <v>45212</v>
      </c>
      <c r="N101" s="42" t="n">
        <v>449.97</v>
      </c>
      <c r="O101" s="0">
        <f>TEXT(B101,"yyyy-mm")</f>
        <v/>
      </c>
      <c r="P101" s="43">
        <f>DATEDIF(M101,TODAY(),"Y")</f>
        <v/>
      </c>
      <c r="Q101" s="0">
        <f>UPPER(LEFT(D101,1)&amp;MID(D101,FIND(" ",D101)+1,1))</f>
        <v/>
      </c>
      <c r="R101" s="44">
        <f>N101*90%</f>
        <v/>
      </c>
      <c r="S101" s="18">
        <f>NOW()</f>
        <v/>
      </c>
    </row>
    <row r="102" ht="15.75" customHeight="1" s="8">
      <c r="A102" s="5" t="inlineStr">
        <is>
          <t>TRX0248</t>
        </is>
      </c>
      <c r="B102" s="29" t="n">
        <v>45534</v>
      </c>
      <c r="C102" s="5" t="inlineStr">
        <is>
          <t>CUST032</t>
        </is>
      </c>
      <c r="D102" s="5" t="inlineStr">
        <is>
          <t>Sandra Phillips</t>
        </is>
      </c>
      <c r="E102" s="5" t="inlineStr">
        <is>
          <t>P002</t>
        </is>
      </c>
      <c r="F102" s="5" t="inlineStr">
        <is>
          <t>Smartphone</t>
        </is>
      </c>
      <c r="G102" s="5" t="inlineStr">
        <is>
          <t>Electronics</t>
        </is>
      </c>
      <c r="H102" s="5" t="n">
        <v>2</v>
      </c>
      <c r="I102" s="42" t="n">
        <v>699.99</v>
      </c>
      <c r="J102" s="5" t="inlineStr">
        <is>
          <t>Credit Card</t>
        </is>
      </c>
      <c r="K102" s="5" t="inlineStr">
        <is>
          <t>North</t>
        </is>
      </c>
      <c r="L102" s="5" t="inlineStr">
        <is>
          <t>Premium</t>
        </is>
      </c>
      <c r="M102" s="29" t="n">
        <v>44421</v>
      </c>
      <c r="N102" s="42" t="n">
        <v>1399.98</v>
      </c>
      <c r="O102" s="0">
        <f>TEXT(B102,"yyyy-mm")</f>
        <v/>
      </c>
      <c r="P102" s="43">
        <f>DATEDIF(M102,TODAY(),"Y")</f>
        <v/>
      </c>
      <c r="Q102" s="0">
        <f>UPPER(LEFT(D102,1)&amp;MID(D102,FIND(" ",D102)+1,1))</f>
        <v/>
      </c>
      <c r="R102" s="44">
        <f>N102*90%</f>
        <v/>
      </c>
      <c r="S102" s="18">
        <f>NOW()</f>
        <v/>
      </c>
    </row>
    <row r="103" ht="15.75" customHeight="1" s="8">
      <c r="A103" s="5" t="inlineStr">
        <is>
          <t>TRX0099</t>
        </is>
      </c>
      <c r="B103" s="29" t="n">
        <v>45537</v>
      </c>
      <c r="C103" s="5" t="inlineStr">
        <is>
          <t>CUST034</t>
        </is>
      </c>
      <c r="D103" s="5" t="inlineStr">
        <is>
          <t>Carol Evans</t>
        </is>
      </c>
      <c r="E103" s="5" t="inlineStr">
        <is>
          <t>P009</t>
        </is>
      </c>
      <c r="F103" s="5" t="inlineStr">
        <is>
          <t>Monitor</t>
        </is>
      </c>
      <c r="G103" s="5" t="inlineStr">
        <is>
          <t>Electronics</t>
        </is>
      </c>
      <c r="H103" s="5" t="n">
        <v>1</v>
      </c>
      <c r="I103" s="42" t="n">
        <v>249.99</v>
      </c>
      <c r="J103" s="5" t="inlineStr">
        <is>
          <t>Credit Card</t>
        </is>
      </c>
      <c r="K103" s="5" t="inlineStr">
        <is>
          <t>West</t>
        </is>
      </c>
      <c r="L103" s="5" t="inlineStr">
        <is>
          <t>Premium</t>
        </is>
      </c>
      <c r="M103" s="29" t="n">
        <v>44685</v>
      </c>
      <c r="N103" s="42" t="n">
        <v>249.99</v>
      </c>
      <c r="O103" s="0">
        <f>TEXT(B103,"yyyy-mm")</f>
        <v/>
      </c>
      <c r="P103" s="43">
        <f>DATEDIF(M103,TODAY(),"Y")</f>
        <v/>
      </c>
      <c r="Q103" s="0">
        <f>UPPER(LEFT(D103,1)&amp;MID(D103,FIND(" ",D103)+1,1))</f>
        <v/>
      </c>
      <c r="R103" s="44">
        <f>N103*90%</f>
        <v/>
      </c>
      <c r="S103" s="18">
        <f>NOW()</f>
        <v/>
      </c>
    </row>
    <row r="104" ht="15.75" customHeight="1" s="8">
      <c r="A104" s="5" t="inlineStr">
        <is>
          <t>TRX0074</t>
        </is>
      </c>
      <c r="B104" s="29" t="n">
        <v>45537</v>
      </c>
      <c r="C104" s="5" t="inlineStr">
        <is>
          <t>CUST023</t>
        </is>
      </c>
      <c r="D104" s="5" t="inlineStr">
        <is>
          <t>Paul Baker</t>
        </is>
      </c>
      <c r="E104" s="5" t="inlineStr">
        <is>
          <t>P009</t>
        </is>
      </c>
      <c r="F104" s="5" t="inlineStr">
        <is>
          <t>Monitor</t>
        </is>
      </c>
      <c r="G104" s="5" t="inlineStr">
        <is>
          <t>Electronics</t>
        </is>
      </c>
      <c r="H104" s="5" t="n">
        <v>1</v>
      </c>
      <c r="I104" s="42" t="n">
        <v>249.99</v>
      </c>
      <c r="J104" s="5" t="inlineStr">
        <is>
          <t>Debit Card</t>
        </is>
      </c>
      <c r="K104" s="5" t="inlineStr">
        <is>
          <t>North</t>
        </is>
      </c>
      <c r="L104" s="5" t="inlineStr">
        <is>
          <t>Premium</t>
        </is>
      </c>
      <c r="M104" s="29" t="n">
        <v>45332</v>
      </c>
      <c r="N104" s="42" t="n">
        <v>249.99</v>
      </c>
      <c r="O104" s="0">
        <f>TEXT(B104,"yyyy-mm")</f>
        <v/>
      </c>
      <c r="P104" s="43">
        <f>DATEDIF(M104,TODAY(),"Y")</f>
        <v/>
      </c>
      <c r="Q104" s="0">
        <f>UPPER(LEFT(D104,1)&amp;MID(D104,FIND(" ",D104)+1,1))</f>
        <v/>
      </c>
      <c r="R104" s="44">
        <f>N104*90%</f>
        <v/>
      </c>
      <c r="S104" s="18">
        <f>NOW()</f>
        <v/>
      </c>
    </row>
    <row r="105" ht="15.75" customHeight="1" s="8">
      <c r="A105" s="5" t="inlineStr">
        <is>
          <t>TRX0225</t>
        </is>
      </c>
      <c r="B105" s="29" t="n">
        <v>45538</v>
      </c>
      <c r="C105" s="5" t="inlineStr">
        <is>
          <t>CUST039</t>
        </is>
      </c>
      <c r="D105" s="5" t="inlineStr">
        <is>
          <t>Lawrence Reed</t>
        </is>
      </c>
      <c r="E105" s="5" t="inlineStr">
        <is>
          <t>P002</t>
        </is>
      </c>
      <c r="F105" s="5" t="inlineStr">
        <is>
          <t>Smartphone</t>
        </is>
      </c>
      <c r="G105" s="5" t="inlineStr">
        <is>
          <t>Electronics</t>
        </is>
      </c>
      <c r="H105" s="5" t="n">
        <v>2</v>
      </c>
      <c r="I105" s="42" t="n">
        <v>699.99</v>
      </c>
      <c r="J105" s="5" t="inlineStr">
        <is>
          <t>Debit Card</t>
        </is>
      </c>
      <c r="K105" s="5" t="inlineStr">
        <is>
          <t>Central</t>
        </is>
      </c>
      <c r="L105" s="5" t="inlineStr">
        <is>
          <t>Premium</t>
        </is>
      </c>
      <c r="M105" s="29" t="n">
        <v>44870</v>
      </c>
      <c r="N105" s="42" t="n">
        <v>1399.98</v>
      </c>
      <c r="O105" s="0">
        <f>TEXT(B105,"yyyy-mm")</f>
        <v/>
      </c>
      <c r="P105" s="43">
        <f>DATEDIF(M105,TODAY(),"Y")</f>
        <v/>
      </c>
      <c r="Q105" s="0">
        <f>UPPER(LEFT(D105,1)&amp;MID(D105,FIND(" ",D105)+1,1))</f>
        <v/>
      </c>
      <c r="R105" s="44">
        <f>N105*90%</f>
        <v/>
      </c>
      <c r="S105" s="18">
        <f>NOW()</f>
        <v/>
      </c>
    </row>
    <row r="106" ht="15.75" customHeight="1" s="8">
      <c r="A106" s="5" t="inlineStr">
        <is>
          <t>TRX0100</t>
        </is>
      </c>
      <c r="B106" s="29" t="n">
        <v>45541</v>
      </c>
      <c r="C106" s="5" t="inlineStr">
        <is>
          <t>CUST031</t>
        </is>
      </c>
      <c r="D106" s="5" t="inlineStr">
        <is>
          <t>Steven Turner</t>
        </is>
      </c>
      <c r="E106" s="5" t="inlineStr">
        <is>
          <t>P005</t>
        </is>
      </c>
      <c r="F106" s="5" t="inlineStr">
        <is>
          <t>Blender</t>
        </is>
      </c>
      <c r="G106" s="5" t="inlineStr">
        <is>
          <t>Appliances</t>
        </is>
      </c>
      <c r="H106" s="5" t="n">
        <v>3</v>
      </c>
      <c r="I106" s="42" t="n">
        <v>59.99</v>
      </c>
      <c r="J106" s="5" t="inlineStr">
        <is>
          <t>Credit Card</t>
        </is>
      </c>
      <c r="K106" s="5" t="inlineStr">
        <is>
          <t>Central</t>
        </is>
      </c>
      <c r="L106" s="5" t="inlineStr">
        <is>
          <t>Premium</t>
        </is>
      </c>
      <c r="M106" s="29" t="n">
        <v>44717</v>
      </c>
      <c r="N106" s="42" t="n">
        <v>179.97</v>
      </c>
      <c r="O106" s="0">
        <f>TEXT(B106,"yyyy-mm")</f>
        <v/>
      </c>
      <c r="P106" s="43">
        <f>DATEDIF(M106,TODAY(),"Y")</f>
        <v/>
      </c>
      <c r="Q106" s="0">
        <f>UPPER(LEFT(D106,1)&amp;MID(D106,FIND(" ",D106)+1,1))</f>
        <v/>
      </c>
      <c r="R106" s="44">
        <f>N106*90%</f>
        <v/>
      </c>
      <c r="S106" s="18">
        <f>NOW()</f>
        <v/>
      </c>
    </row>
    <row r="107" ht="15.75" customHeight="1" s="8">
      <c r="A107" s="5" t="inlineStr">
        <is>
          <t>TRX0142</t>
        </is>
      </c>
      <c r="B107" s="29" t="n">
        <v>45544</v>
      </c>
      <c r="C107" s="5" t="inlineStr">
        <is>
          <t>CUST002</t>
        </is>
      </c>
      <c r="D107" s="5" t="inlineStr">
        <is>
          <t>Emma Wilson</t>
        </is>
      </c>
      <c r="E107" s="5" t="inlineStr">
        <is>
          <t>P005</t>
        </is>
      </c>
      <c r="F107" s="5" t="inlineStr">
        <is>
          <t>Blender</t>
        </is>
      </c>
      <c r="G107" s="5" t="inlineStr">
        <is>
          <t>Appliances</t>
        </is>
      </c>
      <c r="H107" s="5" t="n">
        <v>3</v>
      </c>
      <c r="I107" s="42" t="n">
        <v>59.99</v>
      </c>
      <c r="J107" s="5" t="inlineStr">
        <is>
          <t>PayPal</t>
        </is>
      </c>
      <c r="K107" s="5" t="inlineStr">
        <is>
          <t>East</t>
        </is>
      </c>
      <c r="L107" s="5" t="inlineStr">
        <is>
          <t>Standard</t>
        </is>
      </c>
      <c r="M107" s="29" t="n">
        <v>44748</v>
      </c>
      <c r="N107" s="42" t="n">
        <v>179.97</v>
      </c>
      <c r="O107" s="0">
        <f>TEXT(B107,"yyyy-mm")</f>
        <v/>
      </c>
      <c r="P107" s="43">
        <f>DATEDIF(M107,TODAY(),"Y")</f>
        <v/>
      </c>
      <c r="Q107" s="0">
        <f>UPPER(LEFT(D107,1)&amp;MID(D107,FIND(" ",D107)+1,1))</f>
        <v/>
      </c>
      <c r="R107" s="44">
        <f>N107*90%</f>
        <v/>
      </c>
      <c r="S107" s="18">
        <f>NOW()</f>
        <v/>
      </c>
    </row>
    <row r="108" ht="15.75" customHeight="1" s="8">
      <c r="A108" s="5" t="inlineStr">
        <is>
          <t>TRX0112</t>
        </is>
      </c>
      <c r="B108" s="29" t="n">
        <v>45544</v>
      </c>
      <c r="C108" s="5" t="inlineStr">
        <is>
          <t>CUST008</t>
        </is>
      </c>
      <c r="D108" s="5" t="inlineStr">
        <is>
          <t>Jennifer Taylor</t>
        </is>
      </c>
      <c r="E108" s="5" t="inlineStr">
        <is>
          <t>P004</t>
        </is>
      </c>
      <c r="F108" s="5" t="inlineStr">
        <is>
          <t>Coffee Maker</t>
        </is>
      </c>
      <c r="G108" s="5" t="inlineStr">
        <is>
          <t>Appliances</t>
        </is>
      </c>
      <c r="H108" s="5" t="n">
        <v>4</v>
      </c>
      <c r="I108" s="42" t="n">
        <v>79.98999999999999</v>
      </c>
      <c r="J108" s="5" t="inlineStr">
        <is>
          <t>Cash</t>
        </is>
      </c>
      <c r="K108" s="5" t="inlineStr">
        <is>
          <t>North</t>
        </is>
      </c>
      <c r="L108" s="5" t="inlineStr">
        <is>
          <t>Basic</t>
        </is>
      </c>
      <c r="M108" s="29" t="n">
        <v>44530</v>
      </c>
      <c r="N108" s="42" t="n">
        <v>319.96</v>
      </c>
      <c r="O108" s="0">
        <f>TEXT(B108,"yyyy-mm")</f>
        <v/>
      </c>
      <c r="P108" s="43">
        <f>DATEDIF(M108,TODAY(),"Y")</f>
        <v/>
      </c>
      <c r="Q108" s="0">
        <f>UPPER(LEFT(D108,1)&amp;MID(D108,FIND(" ",D108)+1,1))</f>
        <v/>
      </c>
      <c r="R108" s="44">
        <f>N108*90%</f>
        <v/>
      </c>
      <c r="S108" s="18">
        <f>NOW()</f>
        <v/>
      </c>
    </row>
    <row r="109" ht="15.75" customHeight="1" s="8">
      <c r="A109" s="5" t="inlineStr">
        <is>
          <t>TRX0161</t>
        </is>
      </c>
      <c r="B109" s="29" t="n">
        <v>45545</v>
      </c>
      <c r="C109" s="5" t="inlineStr">
        <is>
          <t>CUST017</t>
        </is>
      </c>
      <c r="D109" s="5" t="inlineStr">
        <is>
          <t>Charles Allen</t>
        </is>
      </c>
      <c r="E109" s="5" t="inlineStr">
        <is>
          <t>P004</t>
        </is>
      </c>
      <c r="F109" s="5" t="inlineStr">
        <is>
          <t>Coffee Maker</t>
        </is>
      </c>
      <c r="G109" s="5" t="inlineStr">
        <is>
          <t>Appliances</t>
        </is>
      </c>
      <c r="H109" s="5" t="n">
        <v>1</v>
      </c>
      <c r="I109" s="42" t="n">
        <v>79.98999999999999</v>
      </c>
      <c r="J109" s="5" t="inlineStr">
        <is>
          <t>Cash</t>
        </is>
      </c>
      <c r="K109" s="5" t="inlineStr">
        <is>
          <t>West</t>
        </is>
      </c>
      <c r="L109" s="5" t="inlineStr">
        <is>
          <t>Basic</t>
        </is>
      </c>
      <c r="M109" s="29" t="n">
        <v>44693</v>
      </c>
      <c r="N109" s="42" t="n">
        <v>79.98999999999999</v>
      </c>
      <c r="O109" s="0">
        <f>TEXT(B109,"yyyy-mm")</f>
        <v/>
      </c>
      <c r="P109" s="43">
        <f>DATEDIF(M109,TODAY(),"Y")</f>
        <v/>
      </c>
      <c r="Q109" s="0">
        <f>UPPER(LEFT(D109,1)&amp;MID(D109,FIND(" ",D109)+1,1))</f>
        <v/>
      </c>
      <c r="R109" s="44">
        <f>N109*90%</f>
        <v/>
      </c>
      <c r="S109" s="18">
        <f>NOW()</f>
        <v/>
      </c>
    </row>
    <row r="110" ht="15.75" customHeight="1" s="8">
      <c r="A110" s="5" t="inlineStr">
        <is>
          <t>TRX0108</t>
        </is>
      </c>
      <c r="B110" s="29" t="n">
        <v>45547</v>
      </c>
      <c r="C110" s="5" t="inlineStr">
        <is>
          <t>CUST024</t>
        </is>
      </c>
      <c r="D110" s="5" t="inlineStr">
        <is>
          <t>Dorothy Nelson</t>
        </is>
      </c>
      <c r="E110" s="5" t="inlineStr">
        <is>
          <t>P007</t>
        </is>
      </c>
      <c r="F110" s="5" t="inlineStr">
        <is>
          <t>Desk</t>
        </is>
      </c>
      <c r="G110" s="5" t="inlineStr">
        <is>
          <t>Furniture</t>
        </is>
      </c>
      <c r="H110" s="5" t="n">
        <v>3</v>
      </c>
      <c r="I110" s="42" t="n">
        <v>299.99</v>
      </c>
      <c r="J110" s="5" t="inlineStr">
        <is>
          <t>Credit Card</t>
        </is>
      </c>
      <c r="K110" s="5" t="inlineStr">
        <is>
          <t>Central</t>
        </is>
      </c>
      <c r="L110" s="5" t="inlineStr">
        <is>
          <t>Premium</t>
        </is>
      </c>
      <c r="M110" s="29" t="n">
        <v>44494</v>
      </c>
      <c r="N110" s="42" t="n">
        <v>899.97</v>
      </c>
      <c r="O110" s="0">
        <f>TEXT(B110,"yyyy-mm")</f>
        <v/>
      </c>
      <c r="P110" s="43">
        <f>DATEDIF(M110,TODAY(),"Y")</f>
        <v/>
      </c>
      <c r="Q110" s="0">
        <f>UPPER(LEFT(D110,1)&amp;MID(D110,FIND(" ",D110)+1,1))</f>
        <v/>
      </c>
      <c r="R110" s="44">
        <f>N110*90%</f>
        <v/>
      </c>
      <c r="S110" s="18">
        <f>NOW()</f>
        <v/>
      </c>
    </row>
    <row r="111" ht="15.75" customHeight="1" s="8">
      <c r="A111" s="5" t="inlineStr">
        <is>
          <t>TRX0211</t>
        </is>
      </c>
      <c r="B111" s="29" t="n">
        <v>45548</v>
      </c>
      <c r="C111" s="5" t="inlineStr">
        <is>
          <t>CUST046</t>
        </is>
      </c>
      <c r="D111" s="5" t="inlineStr">
        <is>
          <t>Kathleen Bennett</t>
        </is>
      </c>
      <c r="E111" s="5" t="inlineStr">
        <is>
          <t>P010</t>
        </is>
      </c>
      <c r="F111" s="5" t="inlineStr">
        <is>
          <t>Keyboard</t>
        </is>
      </c>
      <c r="G111" s="5" t="inlineStr">
        <is>
          <t>Electronics</t>
        </is>
      </c>
      <c r="H111" s="5" t="n">
        <v>2</v>
      </c>
      <c r="I111" s="42" t="n">
        <v>89.98999999999999</v>
      </c>
      <c r="J111" s="5" t="inlineStr">
        <is>
          <t>Credit Card</t>
        </is>
      </c>
      <c r="K111" s="5" t="inlineStr">
        <is>
          <t>South</t>
        </is>
      </c>
      <c r="L111" s="5" t="inlineStr">
        <is>
          <t>Premium</t>
        </is>
      </c>
      <c r="M111" s="29" t="n">
        <v>44641</v>
      </c>
      <c r="N111" s="42" t="n">
        <v>179.98</v>
      </c>
      <c r="O111" s="0">
        <f>TEXT(B111,"yyyy-mm")</f>
        <v/>
      </c>
      <c r="P111" s="43">
        <f>DATEDIF(M111,TODAY(),"Y")</f>
        <v/>
      </c>
      <c r="Q111" s="0">
        <f>UPPER(LEFT(D111,1)&amp;MID(D111,FIND(" ",D111)+1,1))</f>
        <v/>
      </c>
      <c r="R111" s="44">
        <f>N111*90%</f>
        <v/>
      </c>
      <c r="S111" s="18">
        <f>NOW()</f>
        <v/>
      </c>
    </row>
    <row r="112" ht="15.75" customHeight="1" s="8">
      <c r="A112" s="5" t="inlineStr">
        <is>
          <t>TRX0005</t>
        </is>
      </c>
      <c r="B112" s="29" t="n">
        <v>45550</v>
      </c>
      <c r="C112" s="5" t="inlineStr">
        <is>
          <t>CUST042</t>
        </is>
      </c>
      <c r="D112" s="5" t="inlineStr">
        <is>
          <t>Ruth Brooks</t>
        </is>
      </c>
      <c r="E112" s="5" t="inlineStr">
        <is>
          <t>P003</t>
        </is>
      </c>
      <c r="F112" s="5" t="inlineStr">
        <is>
          <t>Headphones</t>
        </is>
      </c>
      <c r="G112" s="5" t="inlineStr">
        <is>
          <t>Electronics</t>
        </is>
      </c>
      <c r="H112" s="5" t="n">
        <v>4</v>
      </c>
      <c r="I112" s="42" t="n">
        <v>149.99</v>
      </c>
      <c r="J112" s="5" t="inlineStr">
        <is>
          <t>Cash</t>
        </is>
      </c>
      <c r="K112" s="5" t="inlineStr">
        <is>
          <t>North</t>
        </is>
      </c>
      <c r="L112" s="5" t="inlineStr">
        <is>
          <t>Basic</t>
        </is>
      </c>
      <c r="M112" s="29" t="n">
        <v>44909</v>
      </c>
      <c r="N112" s="42" t="n">
        <v>599.96</v>
      </c>
      <c r="O112" s="0">
        <f>TEXT(B112,"yyyy-mm")</f>
        <v/>
      </c>
      <c r="P112" s="43">
        <f>DATEDIF(M112,TODAY(),"Y")</f>
        <v/>
      </c>
      <c r="Q112" s="0">
        <f>UPPER(LEFT(D112,1)&amp;MID(D112,FIND(" ",D112)+1,1))</f>
        <v/>
      </c>
      <c r="R112" s="44">
        <f>N112*90%</f>
        <v/>
      </c>
      <c r="S112" s="18">
        <f>NOW()</f>
        <v/>
      </c>
    </row>
    <row r="113" ht="15.75" customHeight="1" s="8">
      <c r="A113" s="5" t="inlineStr">
        <is>
          <t>TRX0195</t>
        </is>
      </c>
      <c r="B113" s="29" t="n">
        <v>45551</v>
      </c>
      <c r="C113" s="5" t="inlineStr">
        <is>
          <t>CUST026</t>
        </is>
      </c>
      <c r="D113" s="5" t="inlineStr">
        <is>
          <t>Karen Hill</t>
        </is>
      </c>
      <c r="E113" s="5" t="inlineStr">
        <is>
          <t>P009</t>
        </is>
      </c>
      <c r="F113" s="5" t="inlineStr">
        <is>
          <t>Monitor</t>
        </is>
      </c>
      <c r="G113" s="5" t="inlineStr">
        <is>
          <t>Electronics</t>
        </is>
      </c>
      <c r="H113" s="5" t="n">
        <v>2</v>
      </c>
      <c r="I113" s="42" t="n">
        <v>249.99</v>
      </c>
      <c r="J113" s="5" t="inlineStr">
        <is>
          <t>PayPal</t>
        </is>
      </c>
      <c r="K113" s="5" t="inlineStr">
        <is>
          <t>South</t>
        </is>
      </c>
      <c r="L113" s="5" t="inlineStr">
        <is>
          <t>Basic</t>
        </is>
      </c>
      <c r="M113" s="29" t="n">
        <v>44993</v>
      </c>
      <c r="N113" s="42" t="n">
        <v>499.98</v>
      </c>
      <c r="O113" s="0">
        <f>TEXT(B113,"yyyy-mm")</f>
        <v/>
      </c>
      <c r="P113" s="43">
        <f>DATEDIF(M113,TODAY(),"Y")</f>
        <v/>
      </c>
      <c r="Q113" s="0">
        <f>UPPER(LEFT(D113,1)&amp;MID(D113,FIND(" ",D113)+1,1))</f>
        <v/>
      </c>
      <c r="R113" s="44">
        <f>N113*90%</f>
        <v/>
      </c>
      <c r="S113" s="18">
        <f>NOW()</f>
        <v/>
      </c>
    </row>
    <row r="114" ht="15.75" customHeight="1" s="8">
      <c r="A114" s="5" t="inlineStr">
        <is>
          <t>TRX0054</t>
        </is>
      </c>
      <c r="B114" s="29" t="n">
        <v>45551</v>
      </c>
      <c r="C114" s="5" t="inlineStr">
        <is>
          <t>CUST004</t>
        </is>
      </c>
      <c r="D114" s="5" t="inlineStr">
        <is>
          <t>Sarah Davis</t>
        </is>
      </c>
      <c r="E114" s="5" t="inlineStr">
        <is>
          <t>P006</t>
        </is>
      </c>
      <c r="F114" s="5" t="inlineStr">
        <is>
          <t>Office Chair</t>
        </is>
      </c>
      <c r="G114" s="5" t="inlineStr">
        <is>
          <t>Furniture</t>
        </is>
      </c>
      <c r="H114" s="5" t="n">
        <v>4</v>
      </c>
      <c r="I114" s="42" t="n">
        <v>199.99</v>
      </c>
      <c r="J114" s="5" t="inlineStr">
        <is>
          <t>Debit Card</t>
        </is>
      </c>
      <c r="K114" s="5" t="inlineStr">
        <is>
          <t>East</t>
        </is>
      </c>
      <c r="L114" s="5" t="inlineStr">
        <is>
          <t>Basic</t>
        </is>
      </c>
      <c r="M114" s="29" t="n">
        <v>44458</v>
      </c>
      <c r="N114" s="42" t="n">
        <v>799.96</v>
      </c>
      <c r="O114" s="0">
        <f>TEXT(B114,"yyyy-mm")</f>
        <v/>
      </c>
      <c r="P114" s="43">
        <f>DATEDIF(M114,TODAY(),"Y")</f>
        <v/>
      </c>
      <c r="Q114" s="0">
        <f>UPPER(LEFT(D114,1)&amp;MID(D114,FIND(" ",D114)+1,1))</f>
        <v/>
      </c>
      <c r="R114" s="44">
        <f>N114*90%</f>
        <v/>
      </c>
      <c r="S114" s="18">
        <f>NOW()</f>
        <v/>
      </c>
    </row>
    <row r="115" ht="15.75" customHeight="1" s="8">
      <c r="A115" s="5" t="inlineStr">
        <is>
          <t>TRX0077</t>
        </is>
      </c>
      <c r="B115" s="29" t="n">
        <v>45554</v>
      </c>
      <c r="C115" s="5" t="inlineStr">
        <is>
          <t>CUST019</t>
        </is>
      </c>
      <c r="D115" s="5" t="inlineStr">
        <is>
          <t>Daniel King</t>
        </is>
      </c>
      <c r="E115" s="5" t="inlineStr">
        <is>
          <t>P010</t>
        </is>
      </c>
      <c r="F115" s="5" t="inlineStr">
        <is>
          <t>Keyboard</t>
        </is>
      </c>
      <c r="G115" s="5" t="inlineStr">
        <is>
          <t>Electronics</t>
        </is>
      </c>
      <c r="H115" s="5" t="n">
        <v>5</v>
      </c>
      <c r="I115" s="42" t="n">
        <v>89.98999999999999</v>
      </c>
      <c r="J115" s="5" t="inlineStr">
        <is>
          <t>Credit Card</t>
        </is>
      </c>
      <c r="K115" s="5" t="inlineStr">
        <is>
          <t>East</t>
        </is>
      </c>
      <c r="L115" s="5" t="inlineStr">
        <is>
          <t>Premium</t>
        </is>
      </c>
      <c r="M115" s="29" t="n">
        <v>44446</v>
      </c>
      <c r="N115" s="42" t="n">
        <v>449.95</v>
      </c>
      <c r="O115" s="0">
        <f>TEXT(B115,"yyyy-mm")</f>
        <v/>
      </c>
      <c r="P115" s="43">
        <f>DATEDIF(M115,TODAY(),"Y")</f>
        <v/>
      </c>
      <c r="Q115" s="0">
        <f>UPPER(LEFT(D115,1)&amp;MID(D115,FIND(" ",D115)+1,1))</f>
        <v/>
      </c>
      <c r="R115" s="44">
        <f>N115*90%</f>
        <v/>
      </c>
      <c r="S115" s="18">
        <f>NOW()</f>
        <v/>
      </c>
    </row>
    <row r="116" ht="15.75" customHeight="1" s="8">
      <c r="A116" s="5" t="inlineStr">
        <is>
          <t>TRX0111</t>
        </is>
      </c>
      <c r="B116" s="29" t="n">
        <v>45554</v>
      </c>
      <c r="C116" s="5" t="inlineStr">
        <is>
          <t>CUST011</t>
        </is>
      </c>
      <c r="D116" s="5" t="inlineStr">
        <is>
          <t>William White</t>
        </is>
      </c>
      <c r="E116" s="5" t="inlineStr">
        <is>
          <t>P003</t>
        </is>
      </c>
      <c r="F116" s="5" t="inlineStr">
        <is>
          <t>Headphones</t>
        </is>
      </c>
      <c r="G116" s="5" t="inlineStr">
        <is>
          <t>Electronics</t>
        </is>
      </c>
      <c r="H116" s="5" t="n">
        <v>1</v>
      </c>
      <c r="I116" s="42" t="n">
        <v>149.99</v>
      </c>
      <c r="J116" s="5" t="inlineStr">
        <is>
          <t>PayPal</t>
        </is>
      </c>
      <c r="K116" s="5" t="inlineStr">
        <is>
          <t>East</t>
        </is>
      </c>
      <c r="L116" s="5" t="inlineStr">
        <is>
          <t>Standard</t>
        </is>
      </c>
      <c r="M116" s="29" t="n">
        <v>44482</v>
      </c>
      <c r="N116" s="42" t="n">
        <v>149.99</v>
      </c>
      <c r="O116" s="0">
        <f>TEXT(B116,"yyyy-mm")</f>
        <v/>
      </c>
      <c r="P116" s="43">
        <f>DATEDIF(M116,TODAY(),"Y")</f>
        <v/>
      </c>
      <c r="Q116" s="0">
        <f>UPPER(LEFT(D116,1)&amp;MID(D116,FIND(" ",D116)+1,1))</f>
        <v/>
      </c>
      <c r="R116" s="44">
        <f>N116*90%</f>
        <v/>
      </c>
      <c r="S116" s="18">
        <f>NOW()</f>
        <v/>
      </c>
    </row>
    <row r="117" ht="15.75" customHeight="1" s="8">
      <c r="A117" s="5" t="inlineStr">
        <is>
          <t>TRX0123</t>
        </is>
      </c>
      <c r="B117" s="29" t="n">
        <v>45554</v>
      </c>
      <c r="C117" s="5" t="inlineStr">
        <is>
          <t>CUST041</t>
        </is>
      </c>
      <c r="D117" s="5" t="inlineStr">
        <is>
          <t>Peter Richardson</t>
        </is>
      </c>
      <c r="E117" s="5" t="inlineStr">
        <is>
          <t>P002</t>
        </is>
      </c>
      <c r="F117" s="5" t="inlineStr">
        <is>
          <t>Smartphone</t>
        </is>
      </c>
      <c r="G117" s="5" t="inlineStr">
        <is>
          <t>Electronics</t>
        </is>
      </c>
      <c r="H117" s="5" t="n">
        <v>4</v>
      </c>
      <c r="I117" s="42" t="n">
        <v>699.99</v>
      </c>
      <c r="J117" s="5" t="inlineStr">
        <is>
          <t>PayPal</t>
        </is>
      </c>
      <c r="K117" s="5" t="inlineStr">
        <is>
          <t>South</t>
        </is>
      </c>
      <c r="L117" s="5" t="inlineStr">
        <is>
          <t>Basic</t>
        </is>
      </c>
      <c r="M117" s="29" t="n">
        <v>44618</v>
      </c>
      <c r="N117" s="42" t="n">
        <v>2799.96</v>
      </c>
      <c r="O117" s="0">
        <f>TEXT(B117,"yyyy-mm")</f>
        <v/>
      </c>
      <c r="P117" s="43">
        <f>DATEDIF(M117,TODAY(),"Y")</f>
        <v/>
      </c>
      <c r="Q117" s="0">
        <f>UPPER(LEFT(D117,1)&amp;MID(D117,FIND(" ",D117)+1,1))</f>
        <v/>
      </c>
      <c r="R117" s="44">
        <f>N117*90%</f>
        <v/>
      </c>
      <c r="S117" s="18">
        <f>NOW()</f>
        <v/>
      </c>
    </row>
    <row r="118" ht="15.75" customHeight="1" s="8">
      <c r="A118" s="5" t="inlineStr">
        <is>
          <t>TRX0177</t>
        </is>
      </c>
      <c r="B118" s="29" t="n">
        <v>45559</v>
      </c>
      <c r="C118" s="5" t="inlineStr">
        <is>
          <t>CUST032</t>
        </is>
      </c>
      <c r="D118" s="5" t="inlineStr">
        <is>
          <t>Sandra Phillips</t>
        </is>
      </c>
      <c r="E118" s="5" t="inlineStr">
        <is>
          <t>P001</t>
        </is>
      </c>
      <c r="F118" s="5" t="inlineStr">
        <is>
          <t>Laptop</t>
        </is>
      </c>
      <c r="G118" s="5" t="inlineStr">
        <is>
          <t>Electronics</t>
        </is>
      </c>
      <c r="H118" s="5" t="n">
        <v>3</v>
      </c>
      <c r="I118" s="42" t="n">
        <v>899.99</v>
      </c>
      <c r="J118" s="5" t="inlineStr">
        <is>
          <t>Credit Card</t>
        </is>
      </c>
      <c r="K118" s="5" t="inlineStr">
        <is>
          <t>North</t>
        </is>
      </c>
      <c r="L118" s="5" t="inlineStr">
        <is>
          <t>Standard</t>
        </is>
      </c>
      <c r="M118" s="29" t="n">
        <v>45157</v>
      </c>
      <c r="N118" s="42" t="n">
        <v>2699.97</v>
      </c>
      <c r="O118" s="0">
        <f>TEXT(B118,"yyyy-mm")</f>
        <v/>
      </c>
      <c r="P118" s="43">
        <f>DATEDIF(M118,TODAY(),"Y")</f>
        <v/>
      </c>
      <c r="Q118" s="0">
        <f>UPPER(LEFT(D118,1)&amp;MID(D118,FIND(" ",D118)+1,1))</f>
        <v/>
      </c>
      <c r="R118" s="44">
        <f>N118*90%</f>
        <v/>
      </c>
      <c r="S118" s="18">
        <f>NOW()</f>
        <v/>
      </c>
    </row>
    <row r="119" ht="15.75" customHeight="1" s="8">
      <c r="A119" s="5" t="inlineStr">
        <is>
          <t>TRX0119</t>
        </is>
      </c>
      <c r="B119" s="29" t="n">
        <v>45560</v>
      </c>
      <c r="C119" s="5" t="inlineStr">
        <is>
          <t>CUST014</t>
        </is>
      </c>
      <c r="D119" s="5" t="inlineStr">
        <is>
          <t>Linda Martin</t>
        </is>
      </c>
      <c r="E119" s="5" t="inlineStr">
        <is>
          <t>P008</t>
        </is>
      </c>
      <c r="F119" s="5" t="inlineStr">
        <is>
          <t>Bookshelf</t>
        </is>
      </c>
      <c r="G119" s="5" t="inlineStr">
        <is>
          <t>Furniture</t>
        </is>
      </c>
      <c r="H119" s="5" t="n">
        <v>3</v>
      </c>
      <c r="I119" s="42" t="n">
        <v>149.99</v>
      </c>
      <c r="J119" s="5" t="inlineStr">
        <is>
          <t>PayPal</t>
        </is>
      </c>
      <c r="K119" s="5" t="inlineStr">
        <is>
          <t>East</t>
        </is>
      </c>
      <c r="L119" s="5" t="inlineStr">
        <is>
          <t>Basic</t>
        </is>
      </c>
      <c r="M119" s="29" t="n">
        <v>44886</v>
      </c>
      <c r="N119" s="42" t="n">
        <v>449.97</v>
      </c>
      <c r="O119" s="0">
        <f>TEXT(B119,"yyyy-mm")</f>
        <v/>
      </c>
      <c r="P119" s="43">
        <f>DATEDIF(M119,TODAY(),"Y")</f>
        <v/>
      </c>
      <c r="Q119" s="0">
        <f>UPPER(LEFT(D119,1)&amp;MID(D119,FIND(" ",D119)+1,1))</f>
        <v/>
      </c>
      <c r="R119" s="44">
        <f>N119*90%</f>
        <v/>
      </c>
      <c r="S119" s="18">
        <f>NOW()</f>
        <v/>
      </c>
    </row>
    <row r="120" ht="15.75" customHeight="1" s="8">
      <c r="A120" s="5" t="inlineStr">
        <is>
          <t>TRX0181</t>
        </is>
      </c>
      <c r="B120" s="29" t="n">
        <v>45563</v>
      </c>
      <c r="C120" s="5" t="inlineStr">
        <is>
          <t>CUST012</t>
        </is>
      </c>
      <c r="D120" s="5" t="inlineStr">
        <is>
          <t>Patricia Moore</t>
        </is>
      </c>
      <c r="E120" s="5" t="inlineStr">
        <is>
          <t>P007</t>
        </is>
      </c>
      <c r="F120" s="5" t="inlineStr">
        <is>
          <t>Desk</t>
        </is>
      </c>
      <c r="G120" s="5" t="inlineStr">
        <is>
          <t>Furniture</t>
        </is>
      </c>
      <c r="H120" s="5" t="n">
        <v>2</v>
      </c>
      <c r="I120" s="42" t="n">
        <v>299.99</v>
      </c>
      <c r="J120" s="5" t="inlineStr">
        <is>
          <t>Debit Card</t>
        </is>
      </c>
      <c r="K120" s="5" t="inlineStr">
        <is>
          <t>Central</t>
        </is>
      </c>
      <c r="L120" s="5" t="inlineStr">
        <is>
          <t>Basic</t>
        </is>
      </c>
      <c r="M120" s="29" t="n">
        <v>44569</v>
      </c>
      <c r="N120" s="42" t="n">
        <v>599.98</v>
      </c>
      <c r="O120" s="0">
        <f>TEXT(B120,"yyyy-mm")</f>
        <v/>
      </c>
      <c r="P120" s="43">
        <f>DATEDIF(M120,TODAY(),"Y")</f>
        <v/>
      </c>
      <c r="Q120" s="0">
        <f>UPPER(LEFT(D120,1)&amp;MID(D120,FIND(" ",D120)+1,1))</f>
        <v/>
      </c>
      <c r="R120" s="44">
        <f>N120*90%</f>
        <v/>
      </c>
      <c r="S120" s="18">
        <f>NOW()</f>
        <v/>
      </c>
    </row>
    <row r="121" ht="15.75" customHeight="1" s="8">
      <c r="A121" s="5" t="inlineStr">
        <is>
          <t>TRX0129</t>
        </is>
      </c>
      <c r="B121" s="29" t="n">
        <v>45564</v>
      </c>
      <c r="C121" s="5" t="inlineStr">
        <is>
          <t>CUST015</t>
        </is>
      </c>
      <c r="D121" s="5" t="inlineStr">
        <is>
          <t>Richard Lee</t>
        </is>
      </c>
      <c r="E121" s="5" t="inlineStr">
        <is>
          <t>P006</t>
        </is>
      </c>
      <c r="F121" s="5" t="inlineStr">
        <is>
          <t>Office Chair</t>
        </is>
      </c>
      <c r="G121" s="5" t="inlineStr">
        <is>
          <t>Furniture</t>
        </is>
      </c>
      <c r="H121" s="5" t="n">
        <v>1</v>
      </c>
      <c r="I121" s="42" t="n">
        <v>199.99</v>
      </c>
      <c r="J121" s="5" t="inlineStr">
        <is>
          <t>Debit Card</t>
        </is>
      </c>
      <c r="K121" s="5" t="inlineStr">
        <is>
          <t>East</t>
        </is>
      </c>
      <c r="L121" s="5" t="inlineStr">
        <is>
          <t>Standard</t>
        </is>
      </c>
      <c r="M121" s="29" t="n">
        <v>44953</v>
      </c>
      <c r="N121" s="42" t="n">
        <v>199.99</v>
      </c>
      <c r="O121" s="0">
        <f>TEXT(B121,"yyyy-mm")</f>
        <v/>
      </c>
      <c r="P121" s="43">
        <f>DATEDIF(M121,TODAY(),"Y")</f>
        <v/>
      </c>
      <c r="Q121" s="0">
        <f>UPPER(LEFT(D121,1)&amp;MID(D121,FIND(" ",D121)+1,1))</f>
        <v/>
      </c>
      <c r="R121" s="44">
        <f>N121*90%</f>
        <v/>
      </c>
      <c r="S121" s="18">
        <f>NOW()</f>
        <v/>
      </c>
    </row>
    <row r="122" ht="15.75" customHeight="1" s="8">
      <c r="A122" s="5" t="inlineStr">
        <is>
          <t>TRX0174</t>
        </is>
      </c>
      <c r="B122" s="29" t="n">
        <v>45566</v>
      </c>
      <c r="C122" s="5" t="inlineStr">
        <is>
          <t>CUST003</t>
        </is>
      </c>
      <c r="D122" s="5" t="inlineStr">
        <is>
          <t>Michael Brown</t>
        </is>
      </c>
      <c r="E122" s="5" t="inlineStr">
        <is>
          <t>P007</t>
        </is>
      </c>
      <c r="F122" s="5" t="inlineStr">
        <is>
          <t>Desk</t>
        </is>
      </c>
      <c r="G122" s="5" t="inlineStr">
        <is>
          <t>Furniture</t>
        </is>
      </c>
      <c r="H122" s="5" t="n">
        <v>4</v>
      </c>
      <c r="I122" s="42" t="n">
        <v>299.99</v>
      </c>
      <c r="J122" s="5" t="inlineStr">
        <is>
          <t>Cash</t>
        </is>
      </c>
      <c r="K122" s="5" t="inlineStr">
        <is>
          <t>Central</t>
        </is>
      </c>
      <c r="L122" s="5" t="inlineStr">
        <is>
          <t>Premium</t>
        </is>
      </c>
      <c r="M122" s="29" t="n">
        <v>44460</v>
      </c>
      <c r="N122" s="42" t="n">
        <v>1199.96</v>
      </c>
      <c r="O122" s="0">
        <f>TEXT(B122,"yyyy-mm")</f>
        <v/>
      </c>
      <c r="P122" s="43">
        <f>DATEDIF(M122,TODAY(),"Y")</f>
        <v/>
      </c>
      <c r="Q122" s="0">
        <f>UPPER(LEFT(D122,1)&amp;MID(D122,FIND(" ",D122)+1,1))</f>
        <v/>
      </c>
      <c r="R122" s="44">
        <f>N122*90%</f>
        <v/>
      </c>
      <c r="S122" s="18">
        <f>NOW()</f>
        <v/>
      </c>
    </row>
    <row r="123" ht="15.75" customHeight="1" s="8">
      <c r="A123" s="5" t="inlineStr">
        <is>
          <t>TRX0146</t>
        </is>
      </c>
      <c r="B123" s="29" t="n">
        <v>45572</v>
      </c>
      <c r="C123" s="5" t="inlineStr">
        <is>
          <t>CUST010</t>
        </is>
      </c>
      <c r="D123" s="5" t="inlineStr">
        <is>
          <t>Maria Garcia</t>
        </is>
      </c>
      <c r="E123" s="5" t="inlineStr">
        <is>
          <t>P005</t>
        </is>
      </c>
      <c r="F123" s="5" t="inlineStr">
        <is>
          <t>Blender</t>
        </is>
      </c>
      <c r="G123" s="5" t="inlineStr">
        <is>
          <t>Appliances</t>
        </is>
      </c>
      <c r="H123" s="5" t="n">
        <v>2</v>
      </c>
      <c r="I123" s="42" t="n">
        <v>59.99</v>
      </c>
      <c r="J123" s="5" t="inlineStr">
        <is>
          <t>Credit Card</t>
        </is>
      </c>
      <c r="K123" s="5" t="inlineStr">
        <is>
          <t>Central</t>
        </is>
      </c>
      <c r="L123" s="5" t="inlineStr">
        <is>
          <t>Basic</t>
        </is>
      </c>
      <c r="M123" s="29" t="n">
        <v>44579</v>
      </c>
      <c r="N123" s="42" t="n">
        <v>119.98</v>
      </c>
      <c r="O123" s="0">
        <f>TEXT(B123,"yyyy-mm")</f>
        <v/>
      </c>
      <c r="P123" s="43">
        <f>DATEDIF(M123,TODAY(),"Y")</f>
        <v/>
      </c>
      <c r="Q123" s="0">
        <f>UPPER(LEFT(D123,1)&amp;MID(D123,FIND(" ",D123)+1,1))</f>
        <v/>
      </c>
      <c r="R123" s="44">
        <f>N123*90%</f>
        <v/>
      </c>
      <c r="S123" s="18">
        <f>NOW()</f>
        <v/>
      </c>
    </row>
    <row r="124" ht="15.75" customHeight="1" s="8">
      <c r="A124" s="5" t="inlineStr">
        <is>
          <t>TRX0203</t>
        </is>
      </c>
      <c r="B124" s="29" t="n">
        <v>45572</v>
      </c>
      <c r="C124" s="5" t="inlineStr">
        <is>
          <t>CUST032</t>
        </is>
      </c>
      <c r="D124" s="5" t="inlineStr">
        <is>
          <t>Sandra Phillips</t>
        </is>
      </c>
      <c r="E124" s="5" t="inlineStr">
        <is>
          <t>P003</t>
        </is>
      </c>
      <c r="F124" s="5" t="inlineStr">
        <is>
          <t>Headphones</t>
        </is>
      </c>
      <c r="G124" s="5" t="inlineStr">
        <is>
          <t>Electronics</t>
        </is>
      </c>
      <c r="H124" s="5" t="n">
        <v>4</v>
      </c>
      <c r="I124" s="42" t="n">
        <v>149.99</v>
      </c>
      <c r="J124" s="5" t="inlineStr">
        <is>
          <t>Credit Card</t>
        </is>
      </c>
      <c r="K124" s="5" t="inlineStr">
        <is>
          <t>North</t>
        </is>
      </c>
      <c r="L124" s="5" t="inlineStr">
        <is>
          <t>Premium</t>
        </is>
      </c>
      <c r="M124" s="29" t="n">
        <v>45076</v>
      </c>
      <c r="N124" s="42" t="n">
        <v>599.96</v>
      </c>
      <c r="O124" s="0">
        <f>TEXT(B124,"yyyy-mm")</f>
        <v/>
      </c>
      <c r="P124" s="43">
        <f>DATEDIF(M124,TODAY(),"Y")</f>
        <v/>
      </c>
      <c r="Q124" s="0">
        <f>UPPER(LEFT(D124,1)&amp;MID(D124,FIND(" ",D124)+1,1))</f>
        <v/>
      </c>
      <c r="R124" s="44">
        <f>N124*90%</f>
        <v/>
      </c>
      <c r="S124" s="18">
        <f>NOW()</f>
        <v/>
      </c>
    </row>
    <row r="125" ht="15.75" customHeight="1" s="8">
      <c r="A125" s="5" t="inlineStr">
        <is>
          <t>TRX0055</t>
        </is>
      </c>
      <c r="B125" s="29" t="n">
        <v>45573</v>
      </c>
      <c r="C125" s="5" t="inlineStr">
        <is>
          <t>CUST016</t>
        </is>
      </c>
      <c r="D125" s="5" t="inlineStr">
        <is>
          <t>Elizabeth Hall</t>
        </is>
      </c>
      <c r="E125" s="5" t="inlineStr">
        <is>
          <t>P002</t>
        </is>
      </c>
      <c r="F125" s="5" t="inlineStr">
        <is>
          <t>Smartphone</t>
        </is>
      </c>
      <c r="G125" s="5" t="inlineStr">
        <is>
          <t>Electronics</t>
        </is>
      </c>
      <c r="H125" s="5" t="n">
        <v>2</v>
      </c>
      <c r="I125" s="42" t="n">
        <v>699.99</v>
      </c>
      <c r="J125" s="5" t="inlineStr">
        <is>
          <t>Debit Card</t>
        </is>
      </c>
      <c r="K125" s="5" t="inlineStr">
        <is>
          <t>East</t>
        </is>
      </c>
      <c r="L125" s="5" t="inlineStr">
        <is>
          <t>Premium</t>
        </is>
      </c>
      <c r="M125" s="29" t="n">
        <v>45274</v>
      </c>
      <c r="N125" s="42" t="n">
        <v>1399.98</v>
      </c>
      <c r="O125" s="0">
        <f>TEXT(B125,"yyyy-mm")</f>
        <v/>
      </c>
      <c r="P125" s="43">
        <f>DATEDIF(M125,TODAY(),"Y")</f>
        <v/>
      </c>
      <c r="Q125" s="0">
        <f>UPPER(LEFT(D125,1)&amp;MID(D125,FIND(" ",D125)+1,1))</f>
        <v/>
      </c>
      <c r="R125" s="44">
        <f>N125*90%</f>
        <v/>
      </c>
      <c r="S125" s="18">
        <f>NOW()</f>
        <v/>
      </c>
    </row>
    <row r="126" ht="15.75" customHeight="1" s="8">
      <c r="A126" s="5" t="inlineStr">
        <is>
          <t>TRX0218</t>
        </is>
      </c>
      <c r="B126" s="29" t="n">
        <v>45573</v>
      </c>
      <c r="C126" s="5" t="inlineStr">
        <is>
          <t>CUST034</t>
        </is>
      </c>
      <c r="D126" s="5" t="inlineStr">
        <is>
          <t>Carol Evans</t>
        </is>
      </c>
      <c r="E126" s="5" t="inlineStr">
        <is>
          <t>P008</t>
        </is>
      </c>
      <c r="F126" s="5" t="inlineStr">
        <is>
          <t>Bookshelf</t>
        </is>
      </c>
      <c r="G126" s="5" t="inlineStr">
        <is>
          <t>Furniture</t>
        </is>
      </c>
      <c r="H126" s="5" t="n">
        <v>3</v>
      </c>
      <c r="I126" s="42" t="n">
        <v>149.99</v>
      </c>
      <c r="J126" s="5" t="inlineStr">
        <is>
          <t>Credit Card</t>
        </is>
      </c>
      <c r="K126" s="5" t="inlineStr">
        <is>
          <t>South</t>
        </is>
      </c>
      <c r="L126" s="5" t="inlineStr">
        <is>
          <t>Standard</t>
        </is>
      </c>
      <c r="M126" s="29" t="n">
        <v>44940</v>
      </c>
      <c r="N126" s="42" t="n">
        <v>449.97</v>
      </c>
      <c r="O126" s="0">
        <f>TEXT(B126,"yyyy-mm")</f>
        <v/>
      </c>
      <c r="P126" s="43">
        <f>DATEDIF(M126,TODAY(),"Y")</f>
        <v/>
      </c>
      <c r="Q126" s="0">
        <f>UPPER(LEFT(D126,1)&amp;MID(D126,FIND(" ",D126)+1,1))</f>
        <v/>
      </c>
      <c r="R126" s="44">
        <f>N126*90%</f>
        <v/>
      </c>
      <c r="S126" s="18">
        <f>NOW()</f>
        <v/>
      </c>
    </row>
    <row r="127" ht="15.75" customHeight="1" s="8">
      <c r="A127" s="5" t="inlineStr">
        <is>
          <t>TRX0085</t>
        </is>
      </c>
      <c r="B127" s="29" t="n">
        <v>45576</v>
      </c>
      <c r="C127" s="5" t="inlineStr">
        <is>
          <t>CUST019</t>
        </is>
      </c>
      <c r="D127" s="5" t="inlineStr">
        <is>
          <t>Daniel King</t>
        </is>
      </c>
      <c r="E127" s="5" t="inlineStr">
        <is>
          <t>P007</t>
        </is>
      </c>
      <c r="F127" s="5" t="inlineStr">
        <is>
          <t>Desk</t>
        </is>
      </c>
      <c r="G127" s="5" t="inlineStr">
        <is>
          <t>Furniture</t>
        </is>
      </c>
      <c r="H127" s="5" t="n">
        <v>3</v>
      </c>
      <c r="I127" s="42" t="n">
        <v>299.99</v>
      </c>
      <c r="J127" s="5" t="inlineStr">
        <is>
          <t>Credit Card</t>
        </is>
      </c>
      <c r="K127" s="5" t="inlineStr">
        <is>
          <t>Central</t>
        </is>
      </c>
      <c r="L127" s="5" t="inlineStr">
        <is>
          <t>Standard</t>
        </is>
      </c>
      <c r="M127" s="29" t="n">
        <v>45174</v>
      </c>
      <c r="N127" s="42" t="n">
        <v>899.97</v>
      </c>
      <c r="O127" s="0">
        <f>TEXT(B127,"yyyy-mm")</f>
        <v/>
      </c>
      <c r="P127" s="43">
        <f>DATEDIF(M127,TODAY(),"Y")</f>
        <v/>
      </c>
      <c r="Q127" s="0">
        <f>UPPER(LEFT(D127,1)&amp;MID(D127,FIND(" ",D127)+1,1))</f>
        <v/>
      </c>
      <c r="R127" s="44">
        <f>N127*90%</f>
        <v/>
      </c>
      <c r="S127" s="18">
        <f>NOW()</f>
        <v/>
      </c>
    </row>
    <row r="128" ht="15.75" customHeight="1" s="8">
      <c r="A128" s="5" t="inlineStr">
        <is>
          <t>TRX0158</t>
        </is>
      </c>
      <c r="B128" s="29" t="n">
        <v>45579</v>
      </c>
      <c r="C128" s="5" t="inlineStr">
        <is>
          <t>CUST027</t>
        </is>
      </c>
      <c r="D128" s="5" t="inlineStr">
        <is>
          <t>George Adams</t>
        </is>
      </c>
      <c r="E128" s="5" t="inlineStr">
        <is>
          <t>P001</t>
        </is>
      </c>
      <c r="F128" s="5" t="inlineStr">
        <is>
          <t>Laptop</t>
        </is>
      </c>
      <c r="G128" s="5" t="inlineStr">
        <is>
          <t>Electronics</t>
        </is>
      </c>
      <c r="H128" s="5" t="n">
        <v>3</v>
      </c>
      <c r="I128" s="42" t="n">
        <v>899.99</v>
      </c>
      <c r="J128" s="5" t="inlineStr">
        <is>
          <t>PayPal</t>
        </is>
      </c>
      <c r="K128" s="5" t="inlineStr">
        <is>
          <t>West</t>
        </is>
      </c>
      <c r="L128" s="5" t="inlineStr">
        <is>
          <t>Basic</t>
        </is>
      </c>
      <c r="M128" s="29" t="n">
        <v>45215</v>
      </c>
      <c r="N128" s="42" t="n">
        <v>2699.97</v>
      </c>
      <c r="O128" s="0">
        <f>TEXT(B128,"yyyy-mm")</f>
        <v/>
      </c>
      <c r="P128" s="43">
        <f>DATEDIF(M128,TODAY(),"Y")</f>
        <v/>
      </c>
      <c r="Q128" s="0">
        <f>UPPER(LEFT(D128,1)&amp;MID(D128,FIND(" ",D128)+1,1))</f>
        <v/>
      </c>
      <c r="R128" s="44">
        <f>N128*90%</f>
        <v/>
      </c>
      <c r="S128" s="18">
        <f>NOW()</f>
        <v/>
      </c>
    </row>
    <row r="129" ht="15.75" customHeight="1" s="8">
      <c r="A129" s="5" t="inlineStr">
        <is>
          <t>TRX0173</t>
        </is>
      </c>
      <c r="B129" s="29" t="n">
        <v>45581</v>
      </c>
      <c r="C129" s="5" t="inlineStr">
        <is>
          <t>CUST018</t>
        </is>
      </c>
      <c r="D129" s="5" t="inlineStr">
        <is>
          <t>Barbara Young</t>
        </is>
      </c>
      <c r="E129" s="5" t="inlineStr">
        <is>
          <t>P002</t>
        </is>
      </c>
      <c r="F129" s="5" t="inlineStr">
        <is>
          <t>Smartphone</t>
        </is>
      </c>
      <c r="G129" s="5" t="inlineStr">
        <is>
          <t>Electronics</t>
        </is>
      </c>
      <c r="H129" s="5" t="n">
        <v>5</v>
      </c>
      <c r="I129" s="42" t="n">
        <v>699.99</v>
      </c>
      <c r="J129" s="5" t="inlineStr">
        <is>
          <t>Cash</t>
        </is>
      </c>
      <c r="K129" s="5" t="inlineStr">
        <is>
          <t>East</t>
        </is>
      </c>
      <c r="L129" s="5" t="inlineStr">
        <is>
          <t>Standard</t>
        </is>
      </c>
      <c r="M129" s="29" t="n">
        <v>45008</v>
      </c>
      <c r="N129" s="42" t="n">
        <v>3499.95</v>
      </c>
      <c r="O129" s="0">
        <f>TEXT(B129,"yyyy-mm")</f>
        <v/>
      </c>
      <c r="P129" s="43">
        <f>DATEDIF(M129,TODAY(),"Y")</f>
        <v/>
      </c>
      <c r="Q129" s="0">
        <f>UPPER(LEFT(D129,1)&amp;MID(D129,FIND(" ",D129)+1,1))</f>
        <v/>
      </c>
      <c r="R129" s="44">
        <f>N129*90%</f>
        <v/>
      </c>
      <c r="S129" s="18">
        <f>NOW()</f>
        <v/>
      </c>
    </row>
    <row r="130" ht="15.75" customHeight="1" s="8">
      <c r="A130" s="5" t="inlineStr">
        <is>
          <t>TRX0034</t>
        </is>
      </c>
      <c r="B130" s="29" t="n">
        <v>45581</v>
      </c>
      <c r="C130" s="5" t="inlineStr">
        <is>
          <t>CUST049</t>
        </is>
      </c>
      <c r="D130" s="5" t="inlineStr">
        <is>
          <t>Raymond Ross</t>
        </is>
      </c>
      <c r="E130" s="5" t="inlineStr">
        <is>
          <t>P002</t>
        </is>
      </c>
      <c r="F130" s="5" t="inlineStr">
        <is>
          <t>Smartphone</t>
        </is>
      </c>
      <c r="G130" s="5" t="inlineStr">
        <is>
          <t>Electronics</t>
        </is>
      </c>
      <c r="H130" s="5" t="n">
        <v>4</v>
      </c>
      <c r="I130" s="42" t="n">
        <v>699.99</v>
      </c>
      <c r="J130" s="5" t="inlineStr">
        <is>
          <t>Credit Card</t>
        </is>
      </c>
      <c r="K130" s="5" t="inlineStr">
        <is>
          <t>Central</t>
        </is>
      </c>
      <c r="L130" s="5" t="inlineStr">
        <is>
          <t>Basic</t>
        </is>
      </c>
      <c r="M130" s="29" t="n">
        <v>45385</v>
      </c>
      <c r="N130" s="42" t="n">
        <v>2799.96</v>
      </c>
      <c r="O130" s="0">
        <f>TEXT(B130,"yyyy-mm")</f>
        <v/>
      </c>
      <c r="P130" s="43">
        <f>DATEDIF(M130,TODAY(),"Y")</f>
        <v/>
      </c>
      <c r="Q130" s="0">
        <f>UPPER(LEFT(D130,1)&amp;MID(D130,FIND(" ",D130)+1,1))</f>
        <v/>
      </c>
      <c r="R130" s="44">
        <f>N130*90%</f>
        <v/>
      </c>
      <c r="S130" s="18">
        <f>NOW()</f>
        <v/>
      </c>
    </row>
    <row r="131" ht="15.75" customHeight="1" s="8">
      <c r="A131" s="5" t="inlineStr">
        <is>
          <t>TRX0189</t>
        </is>
      </c>
      <c r="B131" s="29" t="n">
        <v>45581</v>
      </c>
      <c r="C131" s="5" t="inlineStr">
        <is>
          <t>CUST040</t>
        </is>
      </c>
      <c r="D131" s="5" t="inlineStr">
        <is>
          <t>Sharon Butler</t>
        </is>
      </c>
      <c r="E131" s="5" t="inlineStr">
        <is>
          <t>P001</t>
        </is>
      </c>
      <c r="F131" s="5" t="inlineStr">
        <is>
          <t>Laptop</t>
        </is>
      </c>
      <c r="G131" s="5" t="inlineStr">
        <is>
          <t>Electronics</t>
        </is>
      </c>
      <c r="H131" s="5" t="n">
        <v>1</v>
      </c>
      <c r="I131" s="42" t="n">
        <v>899.99</v>
      </c>
      <c r="J131" s="5" t="inlineStr">
        <is>
          <t>Credit Card</t>
        </is>
      </c>
      <c r="K131" s="5" t="inlineStr">
        <is>
          <t>East</t>
        </is>
      </c>
      <c r="L131" s="5" t="inlineStr">
        <is>
          <t>Standard</t>
        </is>
      </c>
      <c r="M131" s="29" t="n">
        <v>45369</v>
      </c>
      <c r="N131" s="42" t="n">
        <v>899.99</v>
      </c>
      <c r="O131" s="0">
        <f>TEXT(B131,"yyyy-mm")</f>
        <v/>
      </c>
      <c r="P131" s="43">
        <f>DATEDIF(M131,TODAY(),"Y")</f>
        <v/>
      </c>
      <c r="Q131" s="0">
        <f>UPPER(LEFT(D131,1)&amp;MID(D131,FIND(" ",D131)+1,1))</f>
        <v/>
      </c>
      <c r="R131" s="44">
        <f>N131*90%</f>
        <v/>
      </c>
      <c r="S131" s="18">
        <f>NOW()</f>
        <v/>
      </c>
    </row>
    <row r="132" ht="15.75" customHeight="1" s="8">
      <c r="A132" s="5" t="inlineStr">
        <is>
          <t>TRX0190</t>
        </is>
      </c>
      <c r="B132" s="29" t="n">
        <v>45583</v>
      </c>
      <c r="C132" s="5" t="inlineStr">
        <is>
          <t>CUST039</t>
        </is>
      </c>
      <c r="D132" s="5" t="inlineStr">
        <is>
          <t>Lawrence Reed</t>
        </is>
      </c>
      <c r="E132" s="5" t="inlineStr">
        <is>
          <t>P003</t>
        </is>
      </c>
      <c r="F132" s="5" t="inlineStr">
        <is>
          <t>Headphones</t>
        </is>
      </c>
      <c r="G132" s="5" t="inlineStr">
        <is>
          <t>Electronics</t>
        </is>
      </c>
      <c r="H132" s="5" t="n">
        <v>2</v>
      </c>
      <c r="I132" s="42" t="n">
        <v>149.99</v>
      </c>
      <c r="J132" s="5" t="inlineStr">
        <is>
          <t>Credit Card</t>
        </is>
      </c>
      <c r="K132" s="5" t="inlineStr">
        <is>
          <t>West</t>
        </is>
      </c>
      <c r="L132" s="5" t="inlineStr">
        <is>
          <t>Basic</t>
        </is>
      </c>
      <c r="M132" s="29" t="n">
        <v>44916</v>
      </c>
      <c r="N132" s="42" t="n">
        <v>299.98</v>
      </c>
      <c r="O132" s="0">
        <f>TEXT(B132,"yyyy-mm")</f>
        <v/>
      </c>
      <c r="P132" s="43">
        <f>DATEDIF(M132,TODAY(),"Y")</f>
        <v/>
      </c>
      <c r="Q132" s="0">
        <f>UPPER(LEFT(D132,1)&amp;MID(D132,FIND(" ",D132)+1,1))</f>
        <v/>
      </c>
      <c r="R132" s="44">
        <f>N132*90%</f>
        <v/>
      </c>
      <c r="S132" s="18">
        <f>NOW()</f>
        <v/>
      </c>
    </row>
    <row r="133" ht="15.75" customHeight="1" s="8">
      <c r="A133" s="5" t="inlineStr">
        <is>
          <t>TRX0079</t>
        </is>
      </c>
      <c r="B133" s="29" t="n">
        <v>45586</v>
      </c>
      <c r="C133" s="5" t="inlineStr">
        <is>
          <t>CUST039</t>
        </is>
      </c>
      <c r="D133" s="5" t="inlineStr">
        <is>
          <t>Lawrence Reed</t>
        </is>
      </c>
      <c r="E133" s="5" t="inlineStr">
        <is>
          <t>P010</t>
        </is>
      </c>
      <c r="F133" s="5" t="inlineStr">
        <is>
          <t>Keyboard</t>
        </is>
      </c>
      <c r="G133" s="5" t="inlineStr">
        <is>
          <t>Electronics</t>
        </is>
      </c>
      <c r="H133" s="5" t="n">
        <v>3</v>
      </c>
      <c r="I133" s="42" t="n">
        <v>89.98999999999999</v>
      </c>
      <c r="J133" s="5" t="inlineStr">
        <is>
          <t>PayPal</t>
        </is>
      </c>
      <c r="K133" s="5" t="inlineStr">
        <is>
          <t>Central</t>
        </is>
      </c>
      <c r="L133" s="5" t="inlineStr">
        <is>
          <t>Basic</t>
        </is>
      </c>
      <c r="M133" s="29" t="n">
        <v>44551</v>
      </c>
      <c r="N133" s="42" t="n">
        <v>269.97</v>
      </c>
      <c r="O133" s="0">
        <f>TEXT(B133,"yyyy-mm")</f>
        <v/>
      </c>
      <c r="P133" s="43">
        <f>DATEDIF(M133,TODAY(),"Y")</f>
        <v/>
      </c>
      <c r="Q133" s="0">
        <f>UPPER(LEFT(D133,1)&amp;MID(D133,FIND(" ",D133)+1,1))</f>
        <v/>
      </c>
      <c r="R133" s="44">
        <f>N133*90%</f>
        <v/>
      </c>
      <c r="S133" s="18">
        <f>NOW()</f>
        <v/>
      </c>
    </row>
    <row r="134" ht="15.75" customHeight="1" s="8">
      <c r="A134" s="5" t="inlineStr">
        <is>
          <t>TRX0095</t>
        </is>
      </c>
      <c r="B134" s="29" t="n">
        <v>45588</v>
      </c>
      <c r="C134" s="5" t="inlineStr">
        <is>
          <t>CUST046</t>
        </is>
      </c>
      <c r="D134" s="5" t="inlineStr">
        <is>
          <t>Kathleen Bennett</t>
        </is>
      </c>
      <c r="E134" s="5" t="inlineStr">
        <is>
          <t>P003</t>
        </is>
      </c>
      <c r="F134" s="5" t="inlineStr">
        <is>
          <t>Headphones</t>
        </is>
      </c>
      <c r="G134" s="5" t="inlineStr">
        <is>
          <t>Electronics</t>
        </is>
      </c>
      <c r="H134" s="5" t="n">
        <v>2</v>
      </c>
      <c r="I134" s="42" t="n">
        <v>149.99</v>
      </c>
      <c r="J134" s="5" t="inlineStr">
        <is>
          <t>PayPal</t>
        </is>
      </c>
      <c r="K134" s="5" t="inlineStr">
        <is>
          <t>Central</t>
        </is>
      </c>
      <c r="L134" s="5" t="inlineStr">
        <is>
          <t>Basic</t>
        </is>
      </c>
      <c r="M134" s="29" t="n">
        <v>44473</v>
      </c>
      <c r="N134" s="42" t="n">
        <v>299.98</v>
      </c>
      <c r="O134" s="0">
        <f>TEXT(B134,"yyyy-mm")</f>
        <v/>
      </c>
      <c r="P134" s="43">
        <f>DATEDIF(M134,TODAY(),"Y")</f>
        <v/>
      </c>
      <c r="Q134" s="0">
        <f>UPPER(LEFT(D134,1)&amp;MID(D134,FIND(" ",D134)+1,1))</f>
        <v/>
      </c>
      <c r="R134" s="44">
        <f>N134*90%</f>
        <v/>
      </c>
      <c r="S134" s="18">
        <f>NOW()</f>
        <v/>
      </c>
    </row>
    <row r="135" ht="15.75" customHeight="1" s="8">
      <c r="A135" s="5" t="inlineStr">
        <is>
          <t>TRX0009</t>
        </is>
      </c>
      <c r="B135" s="29" t="n">
        <v>45588</v>
      </c>
      <c r="C135" s="5" t="inlineStr">
        <is>
          <t>CUST004</t>
        </is>
      </c>
      <c r="D135" s="5" t="inlineStr">
        <is>
          <t>Sarah Davis</t>
        </is>
      </c>
      <c r="E135" s="5" t="inlineStr">
        <is>
          <t>P002</t>
        </is>
      </c>
      <c r="F135" s="5" t="inlineStr">
        <is>
          <t>Smartphone</t>
        </is>
      </c>
      <c r="G135" s="5" t="inlineStr">
        <is>
          <t>Electronics</t>
        </is>
      </c>
      <c r="H135" s="5" t="n">
        <v>2</v>
      </c>
      <c r="I135" s="42" t="n">
        <v>699.99</v>
      </c>
      <c r="J135" s="5" t="inlineStr">
        <is>
          <t>Cash</t>
        </is>
      </c>
      <c r="K135" s="5" t="inlineStr">
        <is>
          <t>Central</t>
        </is>
      </c>
      <c r="L135" s="5" t="inlineStr">
        <is>
          <t>Basic</t>
        </is>
      </c>
      <c r="M135" s="29" t="n">
        <v>44992</v>
      </c>
      <c r="N135" s="42" t="n">
        <v>1399.98</v>
      </c>
      <c r="O135" s="0">
        <f>TEXT(B135,"yyyy-mm")</f>
        <v/>
      </c>
      <c r="P135" s="43">
        <f>DATEDIF(M135,TODAY(),"Y")</f>
        <v/>
      </c>
      <c r="Q135" s="0">
        <f>UPPER(LEFT(D135,1)&amp;MID(D135,FIND(" ",D135)+1,1))</f>
        <v/>
      </c>
      <c r="R135" s="44">
        <f>N135*90%</f>
        <v/>
      </c>
      <c r="S135" s="18">
        <f>NOW()</f>
        <v/>
      </c>
    </row>
    <row r="136" ht="15.75" customHeight="1" s="8">
      <c r="A136" s="5" t="inlineStr">
        <is>
          <t>TRX0167</t>
        </is>
      </c>
      <c r="B136" s="29" t="n">
        <v>45589</v>
      </c>
      <c r="C136" s="5" t="inlineStr">
        <is>
          <t>CUST028</t>
        </is>
      </c>
      <c r="D136" s="5" t="inlineStr">
        <is>
          <t>Betty Campbell</t>
        </is>
      </c>
      <c r="E136" s="5" t="inlineStr">
        <is>
          <t>P002</t>
        </is>
      </c>
      <c r="F136" s="5" t="inlineStr">
        <is>
          <t>Smartphone</t>
        </is>
      </c>
      <c r="G136" s="5" t="inlineStr">
        <is>
          <t>Electronics</t>
        </is>
      </c>
      <c r="H136" s="5" t="n">
        <v>5</v>
      </c>
      <c r="I136" s="42" t="n">
        <v>699.99</v>
      </c>
      <c r="J136" s="5" t="inlineStr">
        <is>
          <t>Cash</t>
        </is>
      </c>
      <c r="K136" s="5" t="inlineStr">
        <is>
          <t>North</t>
        </is>
      </c>
      <c r="L136" s="5" t="inlineStr">
        <is>
          <t>Premium</t>
        </is>
      </c>
      <c r="M136" s="29" t="n">
        <v>44635</v>
      </c>
      <c r="N136" s="42" t="n">
        <v>3499.95</v>
      </c>
      <c r="O136" s="0">
        <f>TEXT(B136,"yyyy-mm")</f>
        <v/>
      </c>
      <c r="P136" s="43">
        <f>DATEDIF(M136,TODAY(),"Y")</f>
        <v/>
      </c>
      <c r="Q136" s="0">
        <f>UPPER(LEFT(D136,1)&amp;MID(D136,FIND(" ",D136)+1,1))</f>
        <v/>
      </c>
      <c r="R136" s="44">
        <f>N136*90%</f>
        <v/>
      </c>
      <c r="S136" s="18">
        <f>NOW()</f>
        <v/>
      </c>
    </row>
    <row r="137" ht="15.75" customHeight="1" s="8">
      <c r="A137" s="5" t="inlineStr">
        <is>
          <t>TRX0153</t>
        </is>
      </c>
      <c r="B137" s="29" t="n">
        <v>45592</v>
      </c>
      <c r="C137" s="5" t="inlineStr">
        <is>
          <t>CUST049</t>
        </is>
      </c>
      <c r="D137" s="5" t="inlineStr">
        <is>
          <t>Raymond Ross</t>
        </is>
      </c>
      <c r="E137" s="5" t="inlineStr">
        <is>
          <t>P010</t>
        </is>
      </c>
      <c r="F137" s="5" t="inlineStr">
        <is>
          <t>Keyboard</t>
        </is>
      </c>
      <c r="G137" s="5" t="inlineStr">
        <is>
          <t>Electronics</t>
        </is>
      </c>
      <c r="H137" s="5" t="n">
        <v>3</v>
      </c>
      <c r="I137" s="42" t="n">
        <v>89.98999999999999</v>
      </c>
      <c r="J137" s="5" t="inlineStr">
        <is>
          <t>Credit Card</t>
        </is>
      </c>
      <c r="K137" s="5" t="inlineStr">
        <is>
          <t>North</t>
        </is>
      </c>
      <c r="L137" s="5" t="inlineStr">
        <is>
          <t>Standard</t>
        </is>
      </c>
      <c r="M137" s="29" t="n">
        <v>44615</v>
      </c>
      <c r="N137" s="42" t="n">
        <v>269.97</v>
      </c>
      <c r="O137" s="0">
        <f>TEXT(B137,"yyyy-mm")</f>
        <v/>
      </c>
      <c r="P137" s="43">
        <f>DATEDIF(M137,TODAY(),"Y")</f>
        <v/>
      </c>
      <c r="Q137" s="0">
        <f>UPPER(LEFT(D137,1)&amp;MID(D137,FIND(" ",D137)+1,1))</f>
        <v/>
      </c>
      <c r="R137" s="44">
        <f>N137*90%</f>
        <v/>
      </c>
      <c r="S137" s="18">
        <f>NOW()</f>
        <v/>
      </c>
    </row>
    <row r="138" ht="15.75" customHeight="1" s="8">
      <c r="A138" s="5" t="inlineStr">
        <is>
          <t>TRX0057</t>
        </is>
      </c>
      <c r="B138" s="29" t="n">
        <v>45597</v>
      </c>
      <c r="C138" s="5" t="inlineStr">
        <is>
          <t>CUST023</t>
        </is>
      </c>
      <c r="D138" s="5" t="inlineStr">
        <is>
          <t>Paul Baker</t>
        </is>
      </c>
      <c r="E138" s="5" t="inlineStr">
        <is>
          <t>P009</t>
        </is>
      </c>
      <c r="F138" s="5" t="inlineStr">
        <is>
          <t>Monitor</t>
        </is>
      </c>
      <c r="G138" s="5" t="inlineStr">
        <is>
          <t>Electronics</t>
        </is>
      </c>
      <c r="H138" s="5" t="n">
        <v>5</v>
      </c>
      <c r="I138" s="42" t="n">
        <v>249.99</v>
      </c>
      <c r="J138" s="5" t="inlineStr">
        <is>
          <t>Credit Card</t>
        </is>
      </c>
      <c r="K138" s="5" t="inlineStr">
        <is>
          <t>South</t>
        </is>
      </c>
      <c r="L138" s="5" t="inlineStr">
        <is>
          <t>Standard</t>
        </is>
      </c>
      <c r="M138" s="29" t="n">
        <v>44881</v>
      </c>
      <c r="N138" s="42" t="n">
        <v>1249.95</v>
      </c>
      <c r="O138" s="0">
        <f>TEXT(B138,"yyyy-mm")</f>
        <v/>
      </c>
      <c r="P138" s="43">
        <f>DATEDIF(M138,TODAY(),"Y")</f>
        <v/>
      </c>
      <c r="Q138" s="0">
        <f>UPPER(LEFT(D138,1)&amp;MID(D138,FIND(" ",D138)+1,1))</f>
        <v/>
      </c>
      <c r="R138" s="44">
        <f>N138*90%</f>
        <v/>
      </c>
      <c r="S138" s="18">
        <f>NOW()</f>
        <v/>
      </c>
    </row>
    <row r="139" ht="15.75" customHeight="1" s="8">
      <c r="A139" s="5" t="inlineStr">
        <is>
          <t>TRX0017</t>
        </is>
      </c>
      <c r="B139" s="29" t="n">
        <v>45600</v>
      </c>
      <c r="C139" s="5" t="inlineStr">
        <is>
          <t>CUST026</t>
        </is>
      </c>
      <c r="D139" s="5" t="inlineStr">
        <is>
          <t>Karen Hill</t>
        </is>
      </c>
      <c r="E139" s="5" t="inlineStr">
        <is>
          <t>P007</t>
        </is>
      </c>
      <c r="F139" s="5" t="inlineStr">
        <is>
          <t>Desk</t>
        </is>
      </c>
      <c r="G139" s="5" t="inlineStr">
        <is>
          <t>Furniture</t>
        </is>
      </c>
      <c r="H139" s="5" t="n">
        <v>3</v>
      </c>
      <c r="I139" s="42" t="n">
        <v>299.99</v>
      </c>
      <c r="J139" s="5" t="inlineStr">
        <is>
          <t>Credit Card</t>
        </is>
      </c>
      <c r="K139" s="5" t="inlineStr">
        <is>
          <t>South</t>
        </is>
      </c>
      <c r="L139" s="5" t="inlineStr">
        <is>
          <t>Standard</t>
        </is>
      </c>
      <c r="M139" s="29" t="n">
        <v>44502</v>
      </c>
      <c r="N139" s="42" t="n">
        <v>899.97</v>
      </c>
      <c r="O139" s="0">
        <f>TEXT(B139,"yyyy-mm")</f>
        <v/>
      </c>
      <c r="P139" s="43">
        <f>DATEDIF(M139,TODAY(),"Y")</f>
        <v/>
      </c>
      <c r="Q139" s="0">
        <f>UPPER(LEFT(D139,1)&amp;MID(D139,FIND(" ",D139)+1,1))</f>
        <v/>
      </c>
      <c r="R139" s="44">
        <f>N139*90%</f>
        <v/>
      </c>
      <c r="S139" s="18">
        <f>NOW()</f>
        <v/>
      </c>
    </row>
    <row r="140" ht="15.75" customHeight="1" s="8">
      <c r="A140" s="5" t="inlineStr">
        <is>
          <t>TRX0060</t>
        </is>
      </c>
      <c r="B140" s="29" t="n">
        <v>45603</v>
      </c>
      <c r="C140" s="5" t="inlineStr">
        <is>
          <t>CUST012</t>
        </is>
      </c>
      <c r="D140" s="5" t="inlineStr">
        <is>
          <t>Patricia Moore</t>
        </is>
      </c>
      <c r="E140" s="5" t="inlineStr">
        <is>
          <t>P010</t>
        </is>
      </c>
      <c r="F140" s="5" t="inlineStr">
        <is>
          <t>Keyboard</t>
        </is>
      </c>
      <c r="G140" s="5" t="inlineStr">
        <is>
          <t>Electronics</t>
        </is>
      </c>
      <c r="H140" s="5" t="n">
        <v>3</v>
      </c>
      <c r="I140" s="42" t="n">
        <v>89.98999999999999</v>
      </c>
      <c r="J140" s="5" t="inlineStr">
        <is>
          <t>Credit Card</t>
        </is>
      </c>
      <c r="K140" s="5" t="inlineStr">
        <is>
          <t>North</t>
        </is>
      </c>
      <c r="L140" s="5" t="inlineStr">
        <is>
          <t>Premium</t>
        </is>
      </c>
      <c r="M140" s="29" t="n">
        <v>44420</v>
      </c>
      <c r="N140" s="42" t="n">
        <v>269.97</v>
      </c>
      <c r="O140" s="0">
        <f>TEXT(B140,"yyyy-mm")</f>
        <v/>
      </c>
      <c r="P140" s="43">
        <f>DATEDIF(M140,TODAY(),"Y")</f>
        <v/>
      </c>
      <c r="Q140" s="0">
        <f>UPPER(LEFT(D140,1)&amp;MID(D140,FIND(" ",D140)+1,1))</f>
        <v/>
      </c>
      <c r="R140" s="44">
        <f>N140*90%</f>
        <v/>
      </c>
      <c r="S140" s="18">
        <f>NOW()</f>
        <v/>
      </c>
    </row>
    <row r="141" ht="15.75" customHeight="1" s="8">
      <c r="A141" s="5" t="inlineStr">
        <is>
          <t>TRX0109</t>
        </is>
      </c>
      <c r="B141" s="29" t="n">
        <v>45604</v>
      </c>
      <c r="C141" s="5" t="inlineStr">
        <is>
          <t>CUST010</t>
        </is>
      </c>
      <c r="D141" s="5" t="inlineStr">
        <is>
          <t>Maria Garcia</t>
        </is>
      </c>
      <c r="E141" s="5" t="inlineStr">
        <is>
          <t>P008</t>
        </is>
      </c>
      <c r="F141" s="5" t="inlineStr">
        <is>
          <t>Bookshelf</t>
        </is>
      </c>
      <c r="G141" s="5" t="inlineStr">
        <is>
          <t>Furniture</t>
        </is>
      </c>
      <c r="H141" s="5" t="n">
        <v>2</v>
      </c>
      <c r="I141" s="42" t="n">
        <v>149.99</v>
      </c>
      <c r="J141" s="5" t="inlineStr">
        <is>
          <t>Credit Card</t>
        </is>
      </c>
      <c r="K141" s="5" t="inlineStr">
        <is>
          <t>West</t>
        </is>
      </c>
      <c r="L141" s="5" t="inlineStr">
        <is>
          <t>Premium</t>
        </is>
      </c>
      <c r="M141" s="29" t="n">
        <v>44848</v>
      </c>
      <c r="N141" s="42" t="n">
        <v>299.98</v>
      </c>
      <c r="O141" s="0">
        <f>TEXT(B141,"yyyy-mm")</f>
        <v/>
      </c>
      <c r="P141" s="43">
        <f>DATEDIF(M141,TODAY(),"Y")</f>
        <v/>
      </c>
      <c r="Q141" s="0">
        <f>UPPER(LEFT(D141,1)&amp;MID(D141,FIND(" ",D141)+1,1))</f>
        <v/>
      </c>
      <c r="R141" s="44">
        <f>N141*90%</f>
        <v/>
      </c>
      <c r="S141" s="18">
        <f>NOW()</f>
        <v/>
      </c>
    </row>
    <row r="142" ht="15.75" customHeight="1" s="8">
      <c r="A142" s="5" t="inlineStr">
        <is>
          <t>TRX0090</t>
        </is>
      </c>
      <c r="B142" s="29" t="n">
        <v>45605</v>
      </c>
      <c r="C142" s="5" t="inlineStr">
        <is>
          <t>CUST020</t>
        </is>
      </c>
      <c r="D142" s="5" t="inlineStr">
        <is>
          <t>Margaret Wright</t>
        </is>
      </c>
      <c r="E142" s="5" t="inlineStr">
        <is>
          <t>P009</t>
        </is>
      </c>
      <c r="F142" s="5" t="inlineStr">
        <is>
          <t>Monitor</t>
        </is>
      </c>
      <c r="G142" s="5" t="inlineStr">
        <is>
          <t>Electronics</t>
        </is>
      </c>
      <c r="H142" s="5" t="n">
        <v>1</v>
      </c>
      <c r="I142" s="42" t="n">
        <v>249.99</v>
      </c>
      <c r="J142" s="5" t="inlineStr">
        <is>
          <t>Credit Card</t>
        </is>
      </c>
      <c r="K142" s="5" t="inlineStr">
        <is>
          <t>North</t>
        </is>
      </c>
      <c r="L142" s="5" t="inlineStr">
        <is>
          <t>Premium</t>
        </is>
      </c>
      <c r="M142" s="29" t="n">
        <v>44828</v>
      </c>
      <c r="N142" s="42" t="n">
        <v>249.99</v>
      </c>
      <c r="O142" s="0">
        <f>TEXT(B142,"yyyy-mm")</f>
        <v/>
      </c>
      <c r="P142" s="43">
        <f>DATEDIF(M142,TODAY(),"Y")</f>
        <v/>
      </c>
      <c r="Q142" s="0">
        <f>UPPER(LEFT(D142,1)&amp;MID(D142,FIND(" ",D142)+1,1))</f>
        <v/>
      </c>
      <c r="R142" s="44">
        <f>N142*90%</f>
        <v/>
      </c>
      <c r="S142" s="18">
        <f>NOW()</f>
        <v/>
      </c>
    </row>
    <row r="143" ht="15.75" customHeight="1" s="8">
      <c r="A143" s="5" t="inlineStr">
        <is>
          <t>TRX0035</t>
        </is>
      </c>
      <c r="B143" s="29" t="n">
        <v>45607</v>
      </c>
      <c r="C143" s="5" t="inlineStr">
        <is>
          <t>CUST041</t>
        </is>
      </c>
      <c r="D143" s="5" t="inlineStr">
        <is>
          <t>Peter Richardson</t>
        </is>
      </c>
      <c r="E143" s="5" t="inlineStr">
        <is>
          <t>P003</t>
        </is>
      </c>
      <c r="F143" s="5" t="inlineStr">
        <is>
          <t>Headphones</t>
        </is>
      </c>
      <c r="G143" s="5" t="inlineStr">
        <is>
          <t>Electronics</t>
        </is>
      </c>
      <c r="H143" s="5" t="n">
        <v>3</v>
      </c>
      <c r="I143" s="42" t="n">
        <v>149.99</v>
      </c>
      <c r="J143" s="5" t="inlineStr">
        <is>
          <t>Cash</t>
        </is>
      </c>
      <c r="K143" s="5" t="inlineStr">
        <is>
          <t>North</t>
        </is>
      </c>
      <c r="L143" s="5" t="inlineStr">
        <is>
          <t>Basic</t>
        </is>
      </c>
      <c r="M143" s="29" t="n">
        <v>44769</v>
      </c>
      <c r="N143" s="42" t="n">
        <v>449.97</v>
      </c>
      <c r="O143" s="0">
        <f>TEXT(B143,"yyyy-mm")</f>
        <v/>
      </c>
      <c r="P143" s="43">
        <f>DATEDIF(M143,TODAY(),"Y")</f>
        <v/>
      </c>
      <c r="Q143" s="0">
        <f>UPPER(LEFT(D143,1)&amp;MID(D143,FIND(" ",D143)+1,1))</f>
        <v/>
      </c>
      <c r="R143" s="44">
        <f>N143*90%</f>
        <v/>
      </c>
      <c r="S143" s="18">
        <f>NOW()</f>
        <v/>
      </c>
    </row>
    <row r="144" ht="15.75" customHeight="1" s="8">
      <c r="A144" s="5" t="inlineStr">
        <is>
          <t>TRX0172</t>
        </is>
      </c>
      <c r="B144" s="29" t="n">
        <v>45607</v>
      </c>
      <c r="C144" s="5" t="inlineStr">
        <is>
          <t>CUST023</t>
        </is>
      </c>
      <c r="D144" s="5" t="inlineStr">
        <is>
          <t>Paul Baker</t>
        </is>
      </c>
      <c r="E144" s="5" t="inlineStr">
        <is>
          <t>P005</t>
        </is>
      </c>
      <c r="F144" s="5" t="inlineStr">
        <is>
          <t>Blender</t>
        </is>
      </c>
      <c r="G144" s="5" t="inlineStr">
        <is>
          <t>Appliances</t>
        </is>
      </c>
      <c r="H144" s="5" t="n">
        <v>5</v>
      </c>
      <c r="I144" s="42" t="n">
        <v>59.99</v>
      </c>
      <c r="J144" s="5" t="inlineStr">
        <is>
          <t>PayPal</t>
        </is>
      </c>
      <c r="K144" s="5" t="inlineStr">
        <is>
          <t>West</t>
        </is>
      </c>
      <c r="L144" s="5" t="inlineStr">
        <is>
          <t>Premium</t>
        </is>
      </c>
      <c r="M144" s="29" t="n">
        <v>44694</v>
      </c>
      <c r="N144" s="42" t="n">
        <v>299.95</v>
      </c>
      <c r="O144" s="0">
        <f>TEXT(B144,"yyyy-mm")</f>
        <v/>
      </c>
      <c r="P144" s="43">
        <f>DATEDIF(M144,TODAY(),"Y")</f>
        <v/>
      </c>
      <c r="Q144" s="0">
        <f>UPPER(LEFT(D144,1)&amp;MID(D144,FIND(" ",D144)+1,1))</f>
        <v/>
      </c>
      <c r="R144" s="44">
        <f>N144*90%</f>
        <v/>
      </c>
      <c r="S144" s="18">
        <f>NOW()</f>
        <v/>
      </c>
    </row>
    <row r="145" ht="15.75" customHeight="1" s="8">
      <c r="A145" s="5" t="inlineStr">
        <is>
          <t>TRX0076</t>
        </is>
      </c>
      <c r="B145" s="29" t="n">
        <v>45607</v>
      </c>
      <c r="C145" s="5" t="inlineStr">
        <is>
          <t>CUST012</t>
        </is>
      </c>
      <c r="D145" s="5" t="inlineStr">
        <is>
          <t>Patricia Moore</t>
        </is>
      </c>
      <c r="E145" s="5" t="inlineStr">
        <is>
          <t>P009</t>
        </is>
      </c>
      <c r="F145" s="5" t="inlineStr">
        <is>
          <t>Monitor</t>
        </is>
      </c>
      <c r="G145" s="5" t="inlineStr">
        <is>
          <t>Electronics</t>
        </is>
      </c>
      <c r="H145" s="5" t="n">
        <v>4</v>
      </c>
      <c r="I145" s="42" t="n">
        <v>249.99</v>
      </c>
      <c r="J145" s="5" t="inlineStr">
        <is>
          <t>Credit Card</t>
        </is>
      </c>
      <c r="K145" s="5" t="inlineStr">
        <is>
          <t>West</t>
        </is>
      </c>
      <c r="L145" s="5" t="inlineStr">
        <is>
          <t>Standard</t>
        </is>
      </c>
      <c r="M145" s="29" t="n">
        <v>44659</v>
      </c>
      <c r="N145" s="42" t="n">
        <v>999.96</v>
      </c>
      <c r="O145" s="0">
        <f>TEXT(B145,"yyyy-mm")</f>
        <v/>
      </c>
      <c r="P145" s="43">
        <f>DATEDIF(M145,TODAY(),"Y")</f>
        <v/>
      </c>
      <c r="Q145" s="0">
        <f>UPPER(LEFT(D145,1)&amp;MID(D145,FIND(" ",D145)+1,1))</f>
        <v/>
      </c>
      <c r="R145" s="44">
        <f>N145*90%</f>
        <v/>
      </c>
      <c r="S145" s="18">
        <f>NOW()</f>
        <v/>
      </c>
    </row>
    <row r="146" ht="15.75" customHeight="1" s="8">
      <c r="A146" s="5" t="inlineStr">
        <is>
          <t>TRX0210</t>
        </is>
      </c>
      <c r="B146" s="29" t="n">
        <v>45608</v>
      </c>
      <c r="C146" s="5" t="inlineStr">
        <is>
          <t>CUST004</t>
        </is>
      </c>
      <c r="D146" s="5" t="inlineStr">
        <is>
          <t>Sarah Davis</t>
        </is>
      </c>
      <c r="E146" s="5" t="inlineStr">
        <is>
          <t>P008</t>
        </is>
      </c>
      <c r="F146" s="5" t="inlineStr">
        <is>
          <t>Bookshelf</t>
        </is>
      </c>
      <c r="G146" s="5" t="inlineStr">
        <is>
          <t>Furniture</t>
        </is>
      </c>
      <c r="H146" s="5" t="n">
        <v>5</v>
      </c>
      <c r="I146" s="42" t="n">
        <v>149.99</v>
      </c>
      <c r="J146" s="5" t="inlineStr">
        <is>
          <t>PayPal</t>
        </is>
      </c>
      <c r="K146" s="5" t="inlineStr">
        <is>
          <t>Central</t>
        </is>
      </c>
      <c r="L146" s="5" t="inlineStr">
        <is>
          <t>Basic</t>
        </is>
      </c>
      <c r="M146" s="29" t="n">
        <v>44901</v>
      </c>
      <c r="N146" s="42" t="n">
        <v>749.95</v>
      </c>
      <c r="O146" s="0">
        <f>TEXT(B146,"yyyy-mm")</f>
        <v/>
      </c>
      <c r="P146" s="43">
        <f>DATEDIF(M146,TODAY(),"Y")</f>
        <v/>
      </c>
      <c r="Q146" s="0">
        <f>UPPER(LEFT(D146,1)&amp;MID(D146,FIND(" ",D146)+1,1))</f>
        <v/>
      </c>
      <c r="R146" s="44">
        <f>N146*90%</f>
        <v/>
      </c>
      <c r="S146" s="18">
        <f>NOW()</f>
        <v/>
      </c>
    </row>
    <row r="147" ht="15.75" customHeight="1" s="8">
      <c r="A147" s="5" t="inlineStr">
        <is>
          <t>TRX0149</t>
        </is>
      </c>
      <c r="B147" s="29" t="n">
        <v>45608</v>
      </c>
      <c r="C147" s="5" t="inlineStr">
        <is>
          <t>CUST027</t>
        </is>
      </c>
      <c r="D147" s="5" t="inlineStr">
        <is>
          <t>George Adams</t>
        </is>
      </c>
      <c r="E147" s="5" t="inlineStr">
        <is>
          <t>P005</t>
        </is>
      </c>
      <c r="F147" s="5" t="inlineStr">
        <is>
          <t>Blender</t>
        </is>
      </c>
      <c r="G147" s="5" t="inlineStr">
        <is>
          <t>Appliances</t>
        </is>
      </c>
      <c r="H147" s="5" t="n">
        <v>3</v>
      </c>
      <c r="I147" s="42" t="n">
        <v>59.99</v>
      </c>
      <c r="J147" s="5" t="inlineStr">
        <is>
          <t>Debit Card</t>
        </is>
      </c>
      <c r="K147" s="5" t="inlineStr">
        <is>
          <t>South</t>
        </is>
      </c>
      <c r="L147" s="5" t="inlineStr">
        <is>
          <t>Standard</t>
        </is>
      </c>
      <c r="M147" s="29" t="n">
        <v>45260</v>
      </c>
      <c r="N147" s="42" t="n">
        <v>179.97</v>
      </c>
      <c r="O147" s="0">
        <f>TEXT(B147,"yyyy-mm")</f>
        <v/>
      </c>
      <c r="P147" s="43">
        <f>DATEDIF(M147,TODAY(),"Y")</f>
        <v/>
      </c>
      <c r="Q147" s="0">
        <f>UPPER(LEFT(D147,1)&amp;MID(D147,FIND(" ",D147)+1,1))</f>
        <v/>
      </c>
      <c r="R147" s="44">
        <f>N147*90%</f>
        <v/>
      </c>
      <c r="S147" s="18">
        <f>NOW()</f>
        <v/>
      </c>
    </row>
    <row r="148" ht="15.75" customHeight="1" s="8">
      <c r="A148" s="5" t="inlineStr">
        <is>
          <t>TRX0073</t>
        </is>
      </c>
      <c r="B148" s="29" t="n">
        <v>45613</v>
      </c>
      <c r="C148" s="5" t="inlineStr">
        <is>
          <t>CUST032</t>
        </is>
      </c>
      <c r="D148" s="5" t="inlineStr">
        <is>
          <t>Sandra Phillips</t>
        </is>
      </c>
      <c r="E148" s="5" t="inlineStr">
        <is>
          <t>P008</t>
        </is>
      </c>
      <c r="F148" s="5" t="inlineStr">
        <is>
          <t>Bookshelf</t>
        </is>
      </c>
      <c r="G148" s="5" t="inlineStr">
        <is>
          <t>Furniture</t>
        </is>
      </c>
      <c r="H148" s="5" t="n">
        <v>5</v>
      </c>
      <c r="I148" s="42" t="n">
        <v>149.99</v>
      </c>
      <c r="J148" s="5" t="inlineStr">
        <is>
          <t>Cash</t>
        </is>
      </c>
      <c r="K148" s="5" t="inlineStr">
        <is>
          <t>North</t>
        </is>
      </c>
      <c r="L148" s="5" t="inlineStr">
        <is>
          <t>Basic</t>
        </is>
      </c>
      <c r="M148" s="29" t="n">
        <v>44869</v>
      </c>
      <c r="N148" s="42" t="n">
        <v>749.95</v>
      </c>
      <c r="O148" s="0">
        <f>TEXT(B148,"yyyy-mm")</f>
        <v/>
      </c>
      <c r="P148" s="43">
        <f>DATEDIF(M148,TODAY(),"Y")</f>
        <v/>
      </c>
      <c r="Q148" s="0">
        <f>UPPER(LEFT(D148,1)&amp;MID(D148,FIND(" ",D148)+1,1))</f>
        <v/>
      </c>
      <c r="R148" s="44">
        <f>N148*90%</f>
        <v/>
      </c>
      <c r="S148" s="18">
        <f>NOW()</f>
        <v/>
      </c>
    </row>
    <row r="149" ht="15.75" customHeight="1" s="8">
      <c r="A149" s="5" t="inlineStr">
        <is>
          <t>TRX0033</t>
        </is>
      </c>
      <c r="B149" s="29" t="n">
        <v>45613</v>
      </c>
      <c r="C149" s="5" t="inlineStr">
        <is>
          <t>CUST025</t>
        </is>
      </c>
      <c r="D149" s="5" t="inlineStr">
        <is>
          <t>Mark Carter</t>
        </is>
      </c>
      <c r="E149" s="5" t="inlineStr">
        <is>
          <t>P002</t>
        </is>
      </c>
      <c r="F149" s="5" t="inlineStr">
        <is>
          <t>Smartphone</t>
        </is>
      </c>
      <c r="G149" s="5" t="inlineStr">
        <is>
          <t>Electronics</t>
        </is>
      </c>
      <c r="H149" s="5" t="n">
        <v>2</v>
      </c>
      <c r="I149" s="42" t="n">
        <v>699.99</v>
      </c>
      <c r="J149" s="5" t="inlineStr">
        <is>
          <t>PayPal</t>
        </is>
      </c>
      <c r="K149" s="5" t="inlineStr">
        <is>
          <t>West</t>
        </is>
      </c>
      <c r="L149" s="5" t="inlineStr">
        <is>
          <t>Standard</t>
        </is>
      </c>
      <c r="M149" s="29" t="n">
        <v>44770</v>
      </c>
      <c r="N149" s="42" t="n">
        <v>1399.98</v>
      </c>
      <c r="O149" s="0">
        <f>TEXT(B149,"yyyy-mm")</f>
        <v/>
      </c>
      <c r="P149" s="43">
        <f>DATEDIF(M149,TODAY(),"Y")</f>
        <v/>
      </c>
      <c r="Q149" s="0">
        <f>UPPER(LEFT(D149,1)&amp;MID(D149,FIND(" ",D149)+1,1))</f>
        <v/>
      </c>
      <c r="R149" s="44">
        <f>N149*90%</f>
        <v/>
      </c>
      <c r="S149" s="18">
        <f>NOW()</f>
        <v/>
      </c>
    </row>
    <row r="150" ht="15.75" customHeight="1" s="8">
      <c r="A150" s="5" t="inlineStr">
        <is>
          <t>TRX0160</t>
        </is>
      </c>
      <c r="B150" s="29" t="n">
        <v>45617</v>
      </c>
      <c r="C150" s="5" t="inlineStr">
        <is>
          <t>CUST029</t>
        </is>
      </c>
      <c r="D150" s="5" t="inlineStr">
        <is>
          <t>Edward Mitchell</t>
        </is>
      </c>
      <c r="E150" s="5" t="inlineStr">
        <is>
          <t>P006</t>
        </is>
      </c>
      <c r="F150" s="5" t="inlineStr">
        <is>
          <t>Office Chair</t>
        </is>
      </c>
      <c r="G150" s="5" t="inlineStr">
        <is>
          <t>Furniture</t>
        </is>
      </c>
      <c r="H150" s="5" t="n">
        <v>4</v>
      </c>
      <c r="I150" s="42" t="n">
        <v>199.99</v>
      </c>
      <c r="J150" s="5" t="inlineStr">
        <is>
          <t>Debit Card</t>
        </is>
      </c>
      <c r="K150" s="5" t="inlineStr">
        <is>
          <t>Central</t>
        </is>
      </c>
      <c r="L150" s="5" t="inlineStr">
        <is>
          <t>Premium</t>
        </is>
      </c>
      <c r="M150" s="29" t="n">
        <v>44427</v>
      </c>
      <c r="N150" s="42" t="n">
        <v>799.96</v>
      </c>
      <c r="O150" s="0">
        <f>TEXT(B150,"yyyy-mm")</f>
        <v/>
      </c>
      <c r="P150" s="43">
        <f>DATEDIF(M150,TODAY(),"Y")</f>
        <v/>
      </c>
      <c r="Q150" s="0">
        <f>UPPER(LEFT(D150,1)&amp;MID(D150,FIND(" ",D150)+1,1))</f>
        <v/>
      </c>
      <c r="R150" s="44">
        <f>N150*90%</f>
        <v/>
      </c>
      <c r="S150" s="18">
        <f>NOW()</f>
        <v/>
      </c>
    </row>
    <row r="151" ht="15.75" customHeight="1" s="8">
      <c r="A151" s="5" t="inlineStr">
        <is>
          <t>TRX0145</t>
        </is>
      </c>
      <c r="B151" s="29" t="n">
        <v>45619</v>
      </c>
      <c r="C151" s="5" t="inlineStr">
        <is>
          <t>CUST033</t>
        </is>
      </c>
      <c r="D151" s="5" t="inlineStr">
        <is>
          <t>Frank Torres</t>
        </is>
      </c>
      <c r="E151" s="5" t="inlineStr">
        <is>
          <t>P005</t>
        </is>
      </c>
      <c r="F151" s="5" t="inlineStr">
        <is>
          <t>Blender</t>
        </is>
      </c>
      <c r="G151" s="5" t="inlineStr">
        <is>
          <t>Appliances</t>
        </is>
      </c>
      <c r="H151" s="5" t="n">
        <v>1</v>
      </c>
      <c r="I151" s="42" t="n">
        <v>59.99</v>
      </c>
      <c r="J151" s="5" t="inlineStr">
        <is>
          <t>Debit Card</t>
        </is>
      </c>
      <c r="K151" s="5" t="inlineStr">
        <is>
          <t>West</t>
        </is>
      </c>
      <c r="L151" s="5" t="inlineStr">
        <is>
          <t>Standard</t>
        </is>
      </c>
      <c r="M151" s="29" t="n">
        <v>44560</v>
      </c>
      <c r="N151" s="42" t="n">
        <v>59.99</v>
      </c>
      <c r="O151" s="0">
        <f>TEXT(B151,"yyyy-mm")</f>
        <v/>
      </c>
      <c r="P151" s="43">
        <f>DATEDIF(M151,TODAY(),"Y")</f>
        <v/>
      </c>
      <c r="Q151" s="0">
        <f>UPPER(LEFT(D151,1)&amp;MID(D151,FIND(" ",D151)+1,1))</f>
        <v/>
      </c>
      <c r="R151" s="44">
        <f>N151*90%</f>
        <v/>
      </c>
      <c r="S151" s="18">
        <f>NOW()</f>
        <v/>
      </c>
    </row>
    <row r="152" ht="15.75" customHeight="1" s="8">
      <c r="A152" s="5" t="inlineStr">
        <is>
          <t>TRX0148</t>
        </is>
      </c>
      <c r="B152" s="29" t="n">
        <v>45619</v>
      </c>
      <c r="C152" s="5" t="inlineStr">
        <is>
          <t>CUST004</t>
        </is>
      </c>
      <c r="D152" s="5" t="inlineStr">
        <is>
          <t>Sarah Davis</t>
        </is>
      </c>
      <c r="E152" s="5" t="inlineStr">
        <is>
          <t>P002</t>
        </is>
      </c>
      <c r="F152" s="5" t="inlineStr">
        <is>
          <t>Smartphone</t>
        </is>
      </c>
      <c r="G152" s="5" t="inlineStr">
        <is>
          <t>Electronics</t>
        </is>
      </c>
      <c r="H152" s="5" t="n">
        <v>3</v>
      </c>
      <c r="I152" s="42" t="n">
        <v>699.99</v>
      </c>
      <c r="J152" s="5" t="inlineStr">
        <is>
          <t>PayPal</t>
        </is>
      </c>
      <c r="K152" s="5" t="inlineStr">
        <is>
          <t>West</t>
        </is>
      </c>
      <c r="L152" s="5" t="inlineStr">
        <is>
          <t>Standard</t>
        </is>
      </c>
      <c r="M152" s="29" t="n">
        <v>44583</v>
      </c>
      <c r="N152" s="42" t="n">
        <v>2099.97</v>
      </c>
      <c r="O152" s="0">
        <f>TEXT(B152,"yyyy-mm")</f>
        <v/>
      </c>
      <c r="P152" s="43">
        <f>DATEDIF(M152,TODAY(),"Y")</f>
        <v/>
      </c>
      <c r="Q152" s="0">
        <f>UPPER(LEFT(D152,1)&amp;MID(D152,FIND(" ",D152)+1,1))</f>
        <v/>
      </c>
      <c r="R152" s="44">
        <f>N152*90%</f>
        <v/>
      </c>
      <c r="S152" s="18">
        <f>NOW()</f>
        <v/>
      </c>
    </row>
    <row r="153" ht="15.75" customHeight="1" s="8">
      <c r="A153" s="5" t="inlineStr">
        <is>
          <t>TRX0012</t>
        </is>
      </c>
      <c r="B153" s="29" t="n">
        <v>45622</v>
      </c>
      <c r="C153" s="5" t="inlineStr">
        <is>
          <t>CUST045</t>
        </is>
      </c>
      <c r="D153" s="5" t="inlineStr">
        <is>
          <t>Douglas Watson</t>
        </is>
      </c>
      <c r="E153" s="5" t="inlineStr">
        <is>
          <t>P009</t>
        </is>
      </c>
      <c r="F153" s="5" t="inlineStr">
        <is>
          <t>Monitor</t>
        </is>
      </c>
      <c r="G153" s="5" t="inlineStr">
        <is>
          <t>Electronics</t>
        </is>
      </c>
      <c r="H153" s="5" t="n">
        <v>5</v>
      </c>
      <c r="I153" s="42" t="n">
        <v>249.99</v>
      </c>
      <c r="J153" s="5" t="inlineStr">
        <is>
          <t>Credit Card</t>
        </is>
      </c>
      <c r="K153" s="5" t="inlineStr">
        <is>
          <t>North</t>
        </is>
      </c>
      <c r="L153" s="5" t="inlineStr">
        <is>
          <t>Basic</t>
        </is>
      </c>
      <c r="M153" s="29" t="n">
        <v>44873</v>
      </c>
      <c r="N153" s="42" t="n">
        <v>1249.95</v>
      </c>
      <c r="O153" s="0">
        <f>TEXT(B153,"yyyy-mm")</f>
        <v/>
      </c>
      <c r="P153" s="43">
        <f>DATEDIF(M153,TODAY(),"Y")</f>
        <v/>
      </c>
      <c r="Q153" s="0">
        <f>UPPER(LEFT(D153,1)&amp;MID(D153,FIND(" ",D153)+1,1))</f>
        <v/>
      </c>
      <c r="R153" s="44">
        <f>N153*90%</f>
        <v/>
      </c>
      <c r="S153" s="18">
        <f>NOW()</f>
        <v/>
      </c>
    </row>
    <row r="154" ht="15.75" customHeight="1" s="8">
      <c r="A154" s="5" t="inlineStr">
        <is>
          <t>TRX0206</t>
        </is>
      </c>
      <c r="B154" s="29" t="n">
        <v>45623</v>
      </c>
      <c r="C154" s="5" t="inlineStr">
        <is>
          <t>CUST014</t>
        </is>
      </c>
      <c r="D154" s="5" t="inlineStr">
        <is>
          <t>Linda Martin</t>
        </is>
      </c>
      <c r="E154" s="5" t="inlineStr">
        <is>
          <t>P008</t>
        </is>
      </c>
      <c r="F154" s="5" t="inlineStr">
        <is>
          <t>Bookshelf</t>
        </is>
      </c>
      <c r="G154" s="5" t="inlineStr">
        <is>
          <t>Furniture</t>
        </is>
      </c>
      <c r="H154" s="5" t="n">
        <v>2</v>
      </c>
      <c r="I154" s="42" t="n">
        <v>149.99</v>
      </c>
      <c r="J154" s="5" t="inlineStr">
        <is>
          <t>Cash</t>
        </is>
      </c>
      <c r="K154" s="5" t="inlineStr">
        <is>
          <t>South</t>
        </is>
      </c>
      <c r="L154" s="5" t="inlineStr">
        <is>
          <t>Standard</t>
        </is>
      </c>
      <c r="M154" s="29" t="n">
        <v>45101</v>
      </c>
      <c r="N154" s="42" t="n">
        <v>299.98</v>
      </c>
      <c r="O154" s="0">
        <f>TEXT(B154,"yyyy-mm")</f>
        <v/>
      </c>
      <c r="P154" s="43">
        <f>DATEDIF(M154,TODAY(),"Y")</f>
        <v/>
      </c>
      <c r="Q154" s="0">
        <f>UPPER(LEFT(D154,1)&amp;MID(D154,FIND(" ",D154)+1,1))</f>
        <v/>
      </c>
      <c r="R154" s="44">
        <f>N154*90%</f>
        <v/>
      </c>
      <c r="S154" s="18">
        <f>NOW()</f>
        <v/>
      </c>
    </row>
    <row r="155" ht="15.75" customHeight="1" s="8">
      <c r="A155" s="5" t="inlineStr">
        <is>
          <t>TRX0045</t>
        </is>
      </c>
      <c r="B155" s="29" t="n">
        <v>45627</v>
      </c>
      <c r="C155" s="5" t="inlineStr">
        <is>
          <t>CUST021</t>
        </is>
      </c>
      <c r="D155" s="5" t="inlineStr">
        <is>
          <t>Kevin Scott</t>
        </is>
      </c>
      <c r="E155" s="5" t="inlineStr">
        <is>
          <t>P007</t>
        </is>
      </c>
      <c r="F155" s="5" t="inlineStr">
        <is>
          <t>Desk</t>
        </is>
      </c>
      <c r="G155" s="5" t="inlineStr">
        <is>
          <t>Furniture</t>
        </is>
      </c>
      <c r="H155" s="5" t="n">
        <v>3</v>
      </c>
      <c r="I155" s="42" t="n">
        <v>299.99</v>
      </c>
      <c r="J155" s="5" t="inlineStr">
        <is>
          <t>Cash</t>
        </is>
      </c>
      <c r="K155" s="5" t="inlineStr">
        <is>
          <t>South</t>
        </is>
      </c>
      <c r="L155" s="5" t="inlineStr">
        <is>
          <t>Premium</t>
        </is>
      </c>
      <c r="M155" s="29" t="n">
        <v>44659</v>
      </c>
      <c r="N155" s="42" t="n">
        <v>899.97</v>
      </c>
      <c r="O155" s="0">
        <f>TEXT(B155,"yyyy-mm")</f>
        <v/>
      </c>
      <c r="P155" s="43">
        <f>DATEDIF(M155,TODAY(),"Y")</f>
        <v/>
      </c>
      <c r="Q155" s="0">
        <f>UPPER(LEFT(D155,1)&amp;MID(D155,FIND(" ",D155)+1,1))</f>
        <v/>
      </c>
      <c r="R155" s="44">
        <f>N155*90%</f>
        <v/>
      </c>
      <c r="S155" s="18">
        <f>NOW()</f>
        <v/>
      </c>
    </row>
    <row r="156" ht="15.75" customHeight="1" s="8">
      <c r="A156" s="5" t="inlineStr">
        <is>
          <t>TRX0094</t>
        </is>
      </c>
      <c r="B156" s="29" t="n">
        <v>45627</v>
      </c>
      <c r="C156" s="5" t="inlineStr">
        <is>
          <t>CUST017</t>
        </is>
      </c>
      <c r="D156" s="5" t="inlineStr">
        <is>
          <t>Charles Allen</t>
        </is>
      </c>
      <c r="E156" s="5" t="inlineStr">
        <is>
          <t>P009</t>
        </is>
      </c>
      <c r="F156" s="5" t="inlineStr">
        <is>
          <t>Monitor</t>
        </is>
      </c>
      <c r="G156" s="5" t="inlineStr">
        <is>
          <t>Electronics</t>
        </is>
      </c>
      <c r="H156" s="5" t="n">
        <v>5</v>
      </c>
      <c r="I156" s="42" t="n">
        <v>249.99</v>
      </c>
      <c r="J156" s="5" t="inlineStr">
        <is>
          <t>Cash</t>
        </is>
      </c>
      <c r="K156" s="5" t="inlineStr">
        <is>
          <t>Central</t>
        </is>
      </c>
      <c r="L156" s="5" t="inlineStr">
        <is>
          <t>Premium</t>
        </is>
      </c>
      <c r="M156" s="29" t="n">
        <v>44485</v>
      </c>
      <c r="N156" s="42" t="n">
        <v>1249.95</v>
      </c>
      <c r="O156" s="0">
        <f>TEXT(B156,"yyyy-mm")</f>
        <v/>
      </c>
      <c r="P156" s="43">
        <f>DATEDIF(M156,TODAY(),"Y")</f>
        <v/>
      </c>
      <c r="Q156" s="0">
        <f>UPPER(LEFT(D156,1)&amp;MID(D156,FIND(" ",D156)+1,1))</f>
        <v/>
      </c>
      <c r="R156" s="44">
        <f>N156*90%</f>
        <v/>
      </c>
      <c r="S156" s="18">
        <f>NOW()</f>
        <v/>
      </c>
    </row>
    <row r="157" ht="15.75" customHeight="1" s="8">
      <c r="A157" s="5" t="inlineStr">
        <is>
          <t>TRX0133</t>
        </is>
      </c>
      <c r="B157" s="29" t="n">
        <v>45627</v>
      </c>
      <c r="C157" s="5" t="inlineStr">
        <is>
          <t>CUST013</t>
        </is>
      </c>
      <c r="D157" s="5" t="inlineStr">
        <is>
          <t>Joseph Jackson</t>
        </is>
      </c>
      <c r="E157" s="5" t="inlineStr">
        <is>
          <t>P003</t>
        </is>
      </c>
      <c r="F157" s="5" t="inlineStr">
        <is>
          <t>Headphones</t>
        </is>
      </c>
      <c r="G157" s="5" t="inlineStr">
        <is>
          <t>Electronics</t>
        </is>
      </c>
      <c r="H157" s="5" t="n">
        <v>2</v>
      </c>
      <c r="I157" s="42" t="n">
        <v>149.99</v>
      </c>
      <c r="J157" s="5" t="inlineStr">
        <is>
          <t>Cash</t>
        </is>
      </c>
      <c r="K157" s="5" t="inlineStr">
        <is>
          <t>South</t>
        </is>
      </c>
      <c r="L157" s="5" t="inlineStr">
        <is>
          <t>Premium</t>
        </is>
      </c>
      <c r="M157" s="29" t="n">
        <v>44475</v>
      </c>
      <c r="N157" s="42" t="n">
        <v>299.98</v>
      </c>
      <c r="O157" s="0">
        <f>TEXT(B157,"yyyy-mm")</f>
        <v/>
      </c>
      <c r="P157" s="43">
        <f>DATEDIF(M157,TODAY(),"Y")</f>
        <v/>
      </c>
      <c r="Q157" s="0">
        <f>UPPER(LEFT(D157,1)&amp;MID(D157,FIND(" ",D157)+1,1))</f>
        <v/>
      </c>
      <c r="R157" s="44">
        <f>N157*90%</f>
        <v/>
      </c>
      <c r="S157" s="18">
        <f>NOW()</f>
        <v/>
      </c>
    </row>
    <row r="158" ht="15.75" customHeight="1" s="8">
      <c r="A158" s="5" t="inlineStr">
        <is>
          <t>TRX0201</t>
        </is>
      </c>
      <c r="B158" s="29" t="n">
        <v>45627</v>
      </c>
      <c r="C158" s="5" t="inlineStr">
        <is>
          <t>CUST025</t>
        </is>
      </c>
      <c r="D158" s="5" t="inlineStr">
        <is>
          <t>Mark Carter</t>
        </is>
      </c>
      <c r="E158" s="5" t="inlineStr">
        <is>
          <t>P002</t>
        </is>
      </c>
      <c r="F158" s="5" t="inlineStr">
        <is>
          <t>Smartphone</t>
        </is>
      </c>
      <c r="G158" s="5" t="inlineStr">
        <is>
          <t>Electronics</t>
        </is>
      </c>
      <c r="H158" s="5" t="n">
        <v>5</v>
      </c>
      <c r="I158" s="42" t="n">
        <v>699.99</v>
      </c>
      <c r="J158" s="5" t="inlineStr">
        <is>
          <t>Debit Card</t>
        </is>
      </c>
      <c r="K158" s="5" t="inlineStr">
        <is>
          <t>West</t>
        </is>
      </c>
      <c r="L158" s="5" t="inlineStr">
        <is>
          <t>Standard</t>
        </is>
      </c>
      <c r="M158" s="29" t="n">
        <v>44944</v>
      </c>
      <c r="N158" s="42" t="n">
        <v>3499.95</v>
      </c>
      <c r="O158" s="0">
        <f>TEXT(B158,"yyyy-mm")</f>
        <v/>
      </c>
      <c r="P158" s="43">
        <f>DATEDIF(M158,TODAY(),"Y")</f>
        <v/>
      </c>
      <c r="Q158" s="0">
        <f>UPPER(LEFT(D158,1)&amp;MID(D158,FIND(" ",D158)+1,1))</f>
        <v/>
      </c>
      <c r="R158" s="44">
        <f>N158*90%</f>
        <v/>
      </c>
      <c r="S158" s="18">
        <f>NOW()</f>
        <v/>
      </c>
    </row>
    <row r="159" ht="15.75" customHeight="1" s="8">
      <c r="A159" s="5" t="inlineStr">
        <is>
          <t>TRX0137</t>
        </is>
      </c>
      <c r="B159" s="29" t="n">
        <v>45629</v>
      </c>
      <c r="C159" s="5" t="inlineStr">
        <is>
          <t>CUST011</t>
        </is>
      </c>
      <c r="D159" s="5" t="inlineStr">
        <is>
          <t>William White</t>
        </is>
      </c>
      <c r="E159" s="5" t="inlineStr">
        <is>
          <t>P009</t>
        </is>
      </c>
      <c r="F159" s="5" t="inlineStr">
        <is>
          <t>Monitor</t>
        </is>
      </c>
      <c r="G159" s="5" t="inlineStr">
        <is>
          <t>Electronics</t>
        </is>
      </c>
      <c r="H159" s="5" t="n">
        <v>4</v>
      </c>
      <c r="I159" s="42" t="n">
        <v>249.99</v>
      </c>
      <c r="J159" s="5" t="inlineStr">
        <is>
          <t>PayPal</t>
        </is>
      </c>
      <c r="K159" s="5" t="inlineStr">
        <is>
          <t>East</t>
        </is>
      </c>
      <c r="L159" s="5" t="inlineStr">
        <is>
          <t>Premium</t>
        </is>
      </c>
      <c r="M159" s="29" t="n">
        <v>45098</v>
      </c>
      <c r="N159" s="42" t="n">
        <v>999.96</v>
      </c>
      <c r="O159" s="0">
        <f>TEXT(B159,"yyyy-mm")</f>
        <v/>
      </c>
      <c r="P159" s="43">
        <f>DATEDIF(M159,TODAY(),"Y")</f>
        <v/>
      </c>
      <c r="Q159" s="0">
        <f>UPPER(LEFT(D159,1)&amp;MID(D159,FIND(" ",D159)+1,1))</f>
        <v/>
      </c>
      <c r="R159" s="44">
        <f>N159*90%</f>
        <v/>
      </c>
      <c r="S159" s="18">
        <f>NOW()</f>
        <v/>
      </c>
    </row>
    <row r="160" ht="15.75" customHeight="1" s="8">
      <c r="A160" s="5" t="inlineStr">
        <is>
          <t>TRX0066</t>
        </is>
      </c>
      <c r="B160" s="29" t="n">
        <v>45630</v>
      </c>
      <c r="C160" s="5" t="inlineStr">
        <is>
          <t>CUST024</t>
        </is>
      </c>
      <c r="D160" s="5" t="inlineStr">
        <is>
          <t>Dorothy Nelson</t>
        </is>
      </c>
      <c r="E160" s="5" t="inlineStr">
        <is>
          <t>P002</t>
        </is>
      </c>
      <c r="F160" s="5" t="inlineStr">
        <is>
          <t>Smartphone</t>
        </is>
      </c>
      <c r="G160" s="5" t="inlineStr">
        <is>
          <t>Electronics</t>
        </is>
      </c>
      <c r="H160" s="5" t="n">
        <v>4</v>
      </c>
      <c r="I160" s="42" t="n">
        <v>699.99</v>
      </c>
      <c r="J160" s="5" t="inlineStr">
        <is>
          <t>Credit Card</t>
        </is>
      </c>
      <c r="K160" s="5" t="inlineStr">
        <is>
          <t>North</t>
        </is>
      </c>
      <c r="L160" s="5" t="inlineStr">
        <is>
          <t>Premium</t>
        </is>
      </c>
      <c r="M160" s="29" t="n">
        <v>44703</v>
      </c>
      <c r="N160" s="42" t="n">
        <v>2799.96</v>
      </c>
      <c r="O160" s="0">
        <f>TEXT(B160,"yyyy-mm")</f>
        <v/>
      </c>
      <c r="P160" s="43">
        <f>DATEDIF(M160,TODAY(),"Y")</f>
        <v/>
      </c>
      <c r="Q160" s="0">
        <f>UPPER(LEFT(D160,1)&amp;MID(D160,FIND(" ",D160)+1,1))</f>
        <v/>
      </c>
      <c r="R160" s="44">
        <f>N160*90%</f>
        <v/>
      </c>
      <c r="S160" s="18">
        <f>NOW()</f>
        <v/>
      </c>
    </row>
    <row r="161" ht="15.75" customHeight="1" s="8">
      <c r="A161" s="5" t="inlineStr">
        <is>
          <t>TRX0180</t>
        </is>
      </c>
      <c r="B161" s="29" t="n">
        <v>45635</v>
      </c>
      <c r="C161" s="5" t="inlineStr">
        <is>
          <t>CUST036</t>
        </is>
      </c>
      <c r="D161" s="5" t="inlineStr">
        <is>
          <t>Nancy Collins</t>
        </is>
      </c>
      <c r="E161" s="5" t="inlineStr">
        <is>
          <t>P009</t>
        </is>
      </c>
      <c r="F161" s="5" t="inlineStr">
        <is>
          <t>Monitor</t>
        </is>
      </c>
      <c r="G161" s="5" t="inlineStr">
        <is>
          <t>Electronics</t>
        </is>
      </c>
      <c r="H161" s="5" t="n">
        <v>2</v>
      </c>
      <c r="I161" s="42" t="n">
        <v>249.99</v>
      </c>
      <c r="J161" s="5" t="inlineStr">
        <is>
          <t>Credit Card</t>
        </is>
      </c>
      <c r="K161" s="5" t="inlineStr">
        <is>
          <t>Central</t>
        </is>
      </c>
      <c r="L161" s="5" t="inlineStr">
        <is>
          <t>Premium</t>
        </is>
      </c>
      <c r="M161" s="29" t="n">
        <v>44396</v>
      </c>
      <c r="N161" s="42" t="n">
        <v>499.98</v>
      </c>
      <c r="O161" s="0">
        <f>TEXT(B161,"yyyy-mm")</f>
        <v/>
      </c>
      <c r="P161" s="43">
        <f>DATEDIF(M161,TODAY(),"Y")</f>
        <v/>
      </c>
      <c r="Q161" s="0">
        <f>UPPER(LEFT(D161,1)&amp;MID(D161,FIND(" ",D161)+1,1))</f>
        <v/>
      </c>
      <c r="R161" s="44">
        <f>N161*90%</f>
        <v/>
      </c>
      <c r="S161" s="18">
        <f>NOW()</f>
        <v/>
      </c>
    </row>
    <row r="162" ht="15.75" customHeight="1" s="8">
      <c r="A162" s="5" t="inlineStr">
        <is>
          <t>TRX0082</t>
        </is>
      </c>
      <c r="B162" s="29" t="n">
        <v>45635</v>
      </c>
      <c r="C162" s="5" t="inlineStr">
        <is>
          <t>CUST005</t>
        </is>
      </c>
      <c r="D162" s="5" t="inlineStr">
        <is>
          <t>James Johnson</t>
        </is>
      </c>
      <c r="E162" s="5" t="inlineStr">
        <is>
          <t>P005</t>
        </is>
      </c>
      <c r="F162" s="5" t="inlineStr">
        <is>
          <t>Blender</t>
        </is>
      </c>
      <c r="G162" s="5" t="inlineStr">
        <is>
          <t>Appliances</t>
        </is>
      </c>
      <c r="H162" s="5" t="n">
        <v>3</v>
      </c>
      <c r="I162" s="42" t="n">
        <v>59.99</v>
      </c>
      <c r="J162" s="5" t="inlineStr">
        <is>
          <t>Cash</t>
        </is>
      </c>
      <c r="K162" s="5" t="inlineStr">
        <is>
          <t>Central</t>
        </is>
      </c>
      <c r="L162" s="5" t="inlineStr">
        <is>
          <t>Premium</t>
        </is>
      </c>
      <c r="M162" s="29" t="n">
        <v>45052</v>
      </c>
      <c r="N162" s="42" t="n">
        <v>179.97</v>
      </c>
      <c r="O162" s="0">
        <f>TEXT(B162,"yyyy-mm")</f>
        <v/>
      </c>
      <c r="P162" s="43">
        <f>DATEDIF(M162,TODAY(),"Y")</f>
        <v/>
      </c>
      <c r="Q162" s="0">
        <f>UPPER(LEFT(D162,1)&amp;MID(D162,FIND(" ",D162)+1,1))</f>
        <v/>
      </c>
      <c r="R162" s="44">
        <f>N162*90%</f>
        <v/>
      </c>
      <c r="S162" s="18">
        <f>NOW()</f>
        <v/>
      </c>
    </row>
    <row r="163" ht="15.75" customHeight="1" s="8">
      <c r="A163" s="5" t="inlineStr">
        <is>
          <t>TRX0036</t>
        </is>
      </c>
      <c r="B163" s="29" t="n">
        <v>45635</v>
      </c>
      <c r="C163" s="5" t="inlineStr">
        <is>
          <t>CUST008</t>
        </is>
      </c>
      <c r="D163" s="5" t="inlineStr">
        <is>
          <t>Jennifer Taylor</t>
        </is>
      </c>
      <c r="E163" s="5" t="inlineStr">
        <is>
          <t>P004</t>
        </is>
      </c>
      <c r="F163" s="5" t="inlineStr">
        <is>
          <t>Coffee Maker</t>
        </is>
      </c>
      <c r="G163" s="5" t="inlineStr">
        <is>
          <t>Appliances</t>
        </is>
      </c>
      <c r="H163" s="5" t="n">
        <v>4</v>
      </c>
      <c r="I163" s="42" t="n">
        <v>79.98999999999999</v>
      </c>
      <c r="J163" s="5" t="inlineStr">
        <is>
          <t>Debit Card</t>
        </is>
      </c>
      <c r="K163" s="5" t="inlineStr">
        <is>
          <t>East</t>
        </is>
      </c>
      <c r="L163" s="5" t="inlineStr">
        <is>
          <t>Standard</t>
        </is>
      </c>
      <c r="M163" s="29" t="n">
        <v>44921</v>
      </c>
      <c r="N163" s="42" t="n">
        <v>319.96</v>
      </c>
      <c r="O163" s="0">
        <f>TEXT(B163,"yyyy-mm")</f>
        <v/>
      </c>
      <c r="P163" s="43">
        <f>DATEDIF(M163,TODAY(),"Y")</f>
        <v/>
      </c>
      <c r="Q163" s="0">
        <f>UPPER(LEFT(D163,1)&amp;MID(D163,FIND(" ",D163)+1,1))</f>
        <v/>
      </c>
      <c r="R163" s="44">
        <f>N163*90%</f>
        <v/>
      </c>
      <c r="S163" s="18">
        <f>NOW()</f>
        <v/>
      </c>
    </row>
    <row r="164" ht="15.75" customHeight="1" s="8">
      <c r="A164" s="5" t="inlineStr">
        <is>
          <t>TRX0198</t>
        </is>
      </c>
      <c r="B164" s="29" t="n">
        <v>45636</v>
      </c>
      <c r="C164" s="5" t="inlineStr">
        <is>
          <t>CUST030</t>
        </is>
      </c>
      <c r="D164" s="5" t="inlineStr">
        <is>
          <t>Helen Roberts</t>
        </is>
      </c>
      <c r="E164" s="5" t="inlineStr">
        <is>
          <t>P004</t>
        </is>
      </c>
      <c r="F164" s="5" t="inlineStr">
        <is>
          <t>Coffee Maker</t>
        </is>
      </c>
      <c r="G164" s="5" t="inlineStr">
        <is>
          <t>Appliances</t>
        </is>
      </c>
      <c r="H164" s="5" t="n">
        <v>3</v>
      </c>
      <c r="I164" s="42" t="n">
        <v>79.98999999999999</v>
      </c>
      <c r="J164" s="5" t="inlineStr">
        <is>
          <t>Debit Card</t>
        </is>
      </c>
      <c r="K164" s="5" t="inlineStr">
        <is>
          <t>East</t>
        </is>
      </c>
      <c r="L164" s="5" t="inlineStr">
        <is>
          <t>Standard</t>
        </is>
      </c>
      <c r="M164" s="29" t="n">
        <v>44779</v>
      </c>
      <c r="N164" s="42" t="n">
        <v>239.97</v>
      </c>
      <c r="O164" s="0">
        <f>TEXT(B164,"yyyy-mm")</f>
        <v/>
      </c>
      <c r="P164" s="43">
        <f>DATEDIF(M164,TODAY(),"Y")</f>
        <v/>
      </c>
      <c r="Q164" s="0">
        <f>UPPER(LEFT(D164,1)&amp;MID(D164,FIND(" ",D164)+1,1))</f>
        <v/>
      </c>
      <c r="R164" s="44">
        <f>N164*90%</f>
        <v/>
      </c>
      <c r="S164" s="18">
        <f>NOW()</f>
        <v/>
      </c>
    </row>
    <row r="165" ht="15.75" customHeight="1" s="8">
      <c r="A165" s="5" t="inlineStr">
        <is>
          <t>TRX0032</t>
        </is>
      </c>
      <c r="B165" s="29" t="n">
        <v>45638</v>
      </c>
      <c r="C165" s="5" t="inlineStr">
        <is>
          <t>CUST041</t>
        </is>
      </c>
      <c r="D165" s="5" t="inlineStr">
        <is>
          <t>Peter Richardson</t>
        </is>
      </c>
      <c r="E165" s="5" t="inlineStr">
        <is>
          <t>P001</t>
        </is>
      </c>
      <c r="F165" s="5" t="inlineStr">
        <is>
          <t>Laptop</t>
        </is>
      </c>
      <c r="G165" s="5" t="inlineStr">
        <is>
          <t>Electronics</t>
        </is>
      </c>
      <c r="H165" s="5" t="n">
        <v>2</v>
      </c>
      <c r="I165" s="42" t="n">
        <v>899.99</v>
      </c>
      <c r="J165" s="5" t="inlineStr">
        <is>
          <t>Cash</t>
        </is>
      </c>
      <c r="K165" s="5" t="inlineStr">
        <is>
          <t>North</t>
        </is>
      </c>
      <c r="L165" s="5" t="inlineStr">
        <is>
          <t>Basic</t>
        </is>
      </c>
      <c r="M165" s="29" t="n">
        <v>44406</v>
      </c>
      <c r="N165" s="42" t="n">
        <v>1799.98</v>
      </c>
      <c r="O165" s="0">
        <f>TEXT(B165,"yyyy-mm")</f>
        <v/>
      </c>
      <c r="P165" s="43">
        <f>DATEDIF(M165,TODAY(),"Y")</f>
        <v/>
      </c>
      <c r="Q165" s="0">
        <f>UPPER(LEFT(D165,1)&amp;MID(D165,FIND(" ",D165)+1,1))</f>
        <v/>
      </c>
      <c r="R165" s="44">
        <f>N165*90%</f>
        <v/>
      </c>
      <c r="S165" s="18">
        <f>NOW()</f>
        <v/>
      </c>
    </row>
    <row r="166" ht="15.75" customHeight="1" s="8">
      <c r="A166" s="5" t="inlineStr">
        <is>
          <t>TRX0081</t>
        </is>
      </c>
      <c r="B166" s="29" t="n">
        <v>45641</v>
      </c>
      <c r="C166" s="5" t="inlineStr">
        <is>
          <t>CUST007</t>
        </is>
      </c>
      <c r="D166" s="5" t="inlineStr">
        <is>
          <t>David Martinez</t>
        </is>
      </c>
      <c r="E166" s="5" t="inlineStr">
        <is>
          <t>P008</t>
        </is>
      </c>
      <c r="F166" s="5" t="inlineStr">
        <is>
          <t>Bookshelf</t>
        </is>
      </c>
      <c r="G166" s="5" t="inlineStr">
        <is>
          <t>Furniture</t>
        </is>
      </c>
      <c r="H166" s="5" t="n">
        <v>1</v>
      </c>
      <c r="I166" s="42" t="n">
        <v>149.99</v>
      </c>
      <c r="J166" s="5" t="inlineStr">
        <is>
          <t>Debit Card</t>
        </is>
      </c>
      <c r="K166" s="5" t="inlineStr">
        <is>
          <t>East</t>
        </is>
      </c>
      <c r="L166" s="5" t="inlineStr">
        <is>
          <t>Standard</t>
        </is>
      </c>
      <c r="M166" s="29" t="n">
        <v>45200</v>
      </c>
      <c r="N166" s="42" t="n">
        <v>149.99</v>
      </c>
      <c r="O166" s="0">
        <f>TEXT(B166,"yyyy-mm")</f>
        <v/>
      </c>
      <c r="P166" s="43">
        <f>DATEDIF(M166,TODAY(),"Y")</f>
        <v/>
      </c>
      <c r="Q166" s="0">
        <f>UPPER(LEFT(D166,1)&amp;MID(D166,FIND(" ",D166)+1,1))</f>
        <v/>
      </c>
      <c r="R166" s="44">
        <f>N166*90%</f>
        <v/>
      </c>
      <c r="S166" s="18">
        <f>NOW()</f>
        <v/>
      </c>
    </row>
    <row r="167" ht="15.75" customHeight="1" s="8">
      <c r="A167" s="5" t="inlineStr">
        <is>
          <t>TRX0224</t>
        </is>
      </c>
      <c r="B167" s="29" t="n">
        <v>45641</v>
      </c>
      <c r="C167" s="5" t="inlineStr">
        <is>
          <t>CUST031</t>
        </is>
      </c>
      <c r="D167" s="5" t="inlineStr">
        <is>
          <t>Steven Turner</t>
        </is>
      </c>
      <c r="E167" s="5" t="inlineStr">
        <is>
          <t>P007</t>
        </is>
      </c>
      <c r="F167" s="5" t="inlineStr">
        <is>
          <t>Desk</t>
        </is>
      </c>
      <c r="G167" s="5" t="inlineStr">
        <is>
          <t>Furniture</t>
        </is>
      </c>
      <c r="H167" s="5" t="n">
        <v>2</v>
      </c>
      <c r="I167" s="42" t="n">
        <v>299.99</v>
      </c>
      <c r="J167" s="5" t="inlineStr">
        <is>
          <t>Cash</t>
        </is>
      </c>
      <c r="K167" s="5" t="inlineStr">
        <is>
          <t>East</t>
        </is>
      </c>
      <c r="L167" s="5" t="inlineStr">
        <is>
          <t>Premium</t>
        </is>
      </c>
      <c r="M167" s="29" t="n">
        <v>44724</v>
      </c>
      <c r="N167" s="42" t="n">
        <v>599.98</v>
      </c>
      <c r="O167" s="0">
        <f>TEXT(B167,"yyyy-mm")</f>
        <v/>
      </c>
      <c r="P167" s="43">
        <f>DATEDIF(M167,TODAY(),"Y")</f>
        <v/>
      </c>
      <c r="Q167" s="0">
        <f>UPPER(LEFT(D167,1)&amp;MID(D167,FIND(" ",D167)+1,1))</f>
        <v/>
      </c>
      <c r="R167" s="44">
        <f>N167*90%</f>
        <v/>
      </c>
      <c r="S167" s="18">
        <f>NOW()</f>
        <v/>
      </c>
    </row>
    <row r="168" ht="15.75" customHeight="1" s="8">
      <c r="A168" s="5" t="inlineStr">
        <is>
          <t>TRX0028</t>
        </is>
      </c>
      <c r="B168" s="29" t="n">
        <v>45644</v>
      </c>
      <c r="C168" s="5" t="inlineStr">
        <is>
          <t>CUST002</t>
        </is>
      </c>
      <c r="D168" s="5" t="inlineStr">
        <is>
          <t>Emma Wilson</t>
        </is>
      </c>
      <c r="E168" s="5" t="inlineStr">
        <is>
          <t>P005</t>
        </is>
      </c>
      <c r="F168" s="5" t="inlineStr">
        <is>
          <t>Blender</t>
        </is>
      </c>
      <c r="G168" s="5" t="inlineStr">
        <is>
          <t>Appliances</t>
        </is>
      </c>
      <c r="H168" s="5" t="n">
        <v>2</v>
      </c>
      <c r="I168" s="42" t="n">
        <v>59.99</v>
      </c>
      <c r="J168" s="5" t="inlineStr">
        <is>
          <t>Cash</t>
        </is>
      </c>
      <c r="K168" s="5" t="inlineStr">
        <is>
          <t>West</t>
        </is>
      </c>
      <c r="L168" s="5" t="inlineStr">
        <is>
          <t>Basic</t>
        </is>
      </c>
      <c r="M168" s="29" t="n">
        <v>45191</v>
      </c>
      <c r="N168" s="42" t="n">
        <v>119.98</v>
      </c>
      <c r="O168" s="0">
        <f>TEXT(B168,"yyyy-mm")</f>
        <v/>
      </c>
      <c r="P168" s="43">
        <f>DATEDIF(M168,TODAY(),"Y")</f>
        <v/>
      </c>
      <c r="Q168" s="0">
        <f>UPPER(LEFT(D168,1)&amp;MID(D168,FIND(" ",D168)+1,1))</f>
        <v/>
      </c>
      <c r="R168" s="44">
        <f>N168*90%</f>
        <v/>
      </c>
      <c r="S168" s="18">
        <f>NOW()</f>
        <v/>
      </c>
    </row>
    <row r="169" ht="15.75" customHeight="1" s="8">
      <c r="A169" s="5" t="inlineStr">
        <is>
          <t>TRX0183</t>
        </is>
      </c>
      <c r="B169" s="29" t="n">
        <v>45645</v>
      </c>
      <c r="C169" s="5" t="inlineStr">
        <is>
          <t>CUST007</t>
        </is>
      </c>
      <c r="D169" s="5" t="inlineStr">
        <is>
          <t>David Martinez</t>
        </is>
      </c>
      <c r="E169" s="5" t="inlineStr">
        <is>
          <t>P010</t>
        </is>
      </c>
      <c r="F169" s="5" t="inlineStr">
        <is>
          <t>Keyboard</t>
        </is>
      </c>
      <c r="G169" s="5" t="inlineStr">
        <is>
          <t>Electronics</t>
        </is>
      </c>
      <c r="H169" s="5" t="n">
        <v>1</v>
      </c>
      <c r="I169" s="42" t="n">
        <v>89.98999999999999</v>
      </c>
      <c r="J169" s="5" t="inlineStr">
        <is>
          <t>Debit Card</t>
        </is>
      </c>
      <c r="K169" s="5" t="inlineStr">
        <is>
          <t>Central</t>
        </is>
      </c>
      <c r="L169" s="5" t="inlineStr">
        <is>
          <t>Standard</t>
        </is>
      </c>
      <c r="M169" s="29" t="n">
        <v>44760</v>
      </c>
      <c r="N169" s="42" t="n">
        <v>89.98999999999999</v>
      </c>
      <c r="O169" s="0">
        <f>TEXT(B169,"yyyy-mm")</f>
        <v/>
      </c>
      <c r="P169" s="43">
        <f>DATEDIF(M169,TODAY(),"Y")</f>
        <v/>
      </c>
      <c r="Q169" s="0">
        <f>UPPER(LEFT(D169,1)&amp;MID(D169,FIND(" ",D169)+1,1))</f>
        <v/>
      </c>
      <c r="R169" s="44">
        <f>N169*90%</f>
        <v/>
      </c>
      <c r="S169" s="18">
        <f>NOW()</f>
        <v/>
      </c>
    </row>
    <row r="170" ht="15.75" customHeight="1" s="8">
      <c r="A170" s="5" t="inlineStr">
        <is>
          <t>TRX0163</t>
        </is>
      </c>
      <c r="B170" s="29" t="n">
        <v>45645</v>
      </c>
      <c r="C170" s="5" t="inlineStr">
        <is>
          <t>CUST019</t>
        </is>
      </c>
      <c r="D170" s="5" t="inlineStr">
        <is>
          <t>Daniel King</t>
        </is>
      </c>
      <c r="E170" s="5" t="inlineStr">
        <is>
          <t>P001</t>
        </is>
      </c>
      <c r="F170" s="5" t="inlineStr">
        <is>
          <t>Laptop</t>
        </is>
      </c>
      <c r="G170" s="5" t="inlineStr">
        <is>
          <t>Electronics</t>
        </is>
      </c>
      <c r="H170" s="5" t="n">
        <v>5</v>
      </c>
      <c r="I170" s="42" t="n">
        <v>899.99</v>
      </c>
      <c r="J170" s="5" t="inlineStr">
        <is>
          <t>Debit Card</t>
        </is>
      </c>
      <c r="K170" s="5" t="inlineStr">
        <is>
          <t>East</t>
        </is>
      </c>
      <c r="L170" s="5" t="inlineStr">
        <is>
          <t>Standard</t>
        </is>
      </c>
      <c r="M170" s="29" t="n">
        <v>44625</v>
      </c>
      <c r="N170" s="42" t="n">
        <v>4499.95</v>
      </c>
      <c r="O170" s="0">
        <f>TEXT(B170,"yyyy-mm")</f>
        <v/>
      </c>
      <c r="P170" s="43">
        <f>DATEDIF(M170,TODAY(),"Y")</f>
        <v/>
      </c>
      <c r="Q170" s="0">
        <f>UPPER(LEFT(D170,1)&amp;MID(D170,FIND(" ",D170)+1,1))</f>
        <v/>
      </c>
      <c r="R170" s="44">
        <f>N170*90%</f>
        <v/>
      </c>
      <c r="S170" s="18">
        <f>NOW()</f>
        <v/>
      </c>
    </row>
    <row r="171" ht="15.75" customHeight="1" s="8">
      <c r="A171" s="5" t="inlineStr">
        <is>
          <t>TRX0046</t>
        </is>
      </c>
      <c r="B171" s="29" t="n">
        <v>45646</v>
      </c>
      <c r="C171" s="5" t="inlineStr">
        <is>
          <t>CUST003</t>
        </is>
      </c>
      <c r="D171" s="5" t="inlineStr">
        <is>
          <t>Michael Brown</t>
        </is>
      </c>
      <c r="E171" s="5" t="inlineStr">
        <is>
          <t>P008</t>
        </is>
      </c>
      <c r="F171" s="5" t="inlineStr">
        <is>
          <t>Bookshelf</t>
        </is>
      </c>
      <c r="G171" s="5" t="inlineStr">
        <is>
          <t>Furniture</t>
        </is>
      </c>
      <c r="H171" s="5" t="n">
        <v>2</v>
      </c>
      <c r="I171" s="42" t="n">
        <v>149.99</v>
      </c>
      <c r="J171" s="5" t="inlineStr">
        <is>
          <t>Cash</t>
        </is>
      </c>
      <c r="K171" s="5" t="inlineStr">
        <is>
          <t>South</t>
        </is>
      </c>
      <c r="L171" s="5" t="inlineStr">
        <is>
          <t>Basic</t>
        </is>
      </c>
      <c r="M171" s="29" t="n">
        <v>45239</v>
      </c>
      <c r="N171" s="42" t="n">
        <v>299.98</v>
      </c>
      <c r="O171" s="0">
        <f>TEXT(B171,"yyyy-mm")</f>
        <v/>
      </c>
      <c r="P171" s="43">
        <f>DATEDIF(M171,TODAY(),"Y")</f>
        <v/>
      </c>
      <c r="Q171" s="0">
        <f>UPPER(LEFT(D171,1)&amp;MID(D171,FIND(" ",D171)+1,1))</f>
        <v/>
      </c>
      <c r="R171" s="44">
        <f>N171*90%</f>
        <v/>
      </c>
      <c r="S171" s="18">
        <f>NOW()</f>
        <v/>
      </c>
    </row>
    <row r="172" ht="15.75" customHeight="1" s="8">
      <c r="A172" s="5" t="inlineStr">
        <is>
          <t>TRX0164</t>
        </is>
      </c>
      <c r="B172" s="29" t="n">
        <v>45648</v>
      </c>
      <c r="C172" s="5" t="inlineStr">
        <is>
          <t>CUST014</t>
        </is>
      </c>
      <c r="D172" s="5" t="inlineStr">
        <is>
          <t>Linda Martin</t>
        </is>
      </c>
      <c r="E172" s="5" t="inlineStr">
        <is>
          <t>P003</t>
        </is>
      </c>
      <c r="F172" s="5" t="inlineStr">
        <is>
          <t>Headphones</t>
        </is>
      </c>
      <c r="G172" s="5" t="inlineStr">
        <is>
          <t>Electronics</t>
        </is>
      </c>
      <c r="H172" s="5" t="n">
        <v>2</v>
      </c>
      <c r="I172" s="42" t="n">
        <v>149.99</v>
      </c>
      <c r="J172" s="5" t="inlineStr">
        <is>
          <t>Debit Card</t>
        </is>
      </c>
      <c r="K172" s="5" t="inlineStr">
        <is>
          <t>West</t>
        </is>
      </c>
      <c r="L172" s="5" t="inlineStr">
        <is>
          <t>Premium</t>
        </is>
      </c>
      <c r="M172" s="29" t="n">
        <v>45280</v>
      </c>
      <c r="N172" s="42" t="n">
        <v>299.98</v>
      </c>
      <c r="O172" s="0">
        <f>TEXT(B172,"yyyy-mm")</f>
        <v/>
      </c>
      <c r="P172" s="43">
        <f>DATEDIF(M172,TODAY(),"Y")</f>
        <v/>
      </c>
      <c r="Q172" s="0">
        <f>UPPER(LEFT(D172,1)&amp;MID(D172,FIND(" ",D172)+1,1))</f>
        <v/>
      </c>
      <c r="R172" s="44">
        <f>N172*90%</f>
        <v/>
      </c>
      <c r="S172" s="18">
        <f>NOW()</f>
        <v/>
      </c>
    </row>
    <row r="173" ht="15.75" customHeight="1" s="8">
      <c r="A173" s="5" t="inlineStr">
        <is>
          <t>TRX0008</t>
        </is>
      </c>
      <c r="B173" s="29" t="n">
        <v>45648</v>
      </c>
      <c r="C173" s="5" t="inlineStr">
        <is>
          <t>CUST007</t>
        </is>
      </c>
      <c r="D173" s="5" t="inlineStr">
        <is>
          <t>David Martinez</t>
        </is>
      </c>
      <c r="E173" s="5" t="inlineStr">
        <is>
          <t>P008</t>
        </is>
      </c>
      <c r="F173" s="5" t="inlineStr">
        <is>
          <t>Bookshelf</t>
        </is>
      </c>
      <c r="G173" s="5" t="inlineStr">
        <is>
          <t>Furniture</t>
        </is>
      </c>
      <c r="H173" s="5" t="n">
        <v>3</v>
      </c>
      <c r="I173" s="42" t="n">
        <v>149.99</v>
      </c>
      <c r="J173" s="5" t="inlineStr">
        <is>
          <t>Debit Card</t>
        </is>
      </c>
      <c r="K173" s="5" t="inlineStr">
        <is>
          <t>North</t>
        </is>
      </c>
      <c r="L173" s="5" t="inlineStr">
        <is>
          <t>Standard</t>
        </is>
      </c>
      <c r="M173" s="29" t="n">
        <v>44522</v>
      </c>
      <c r="N173" s="42" t="n">
        <v>449.97</v>
      </c>
      <c r="O173" s="0">
        <f>TEXT(B173,"yyyy-mm")</f>
        <v/>
      </c>
      <c r="P173" s="43">
        <f>DATEDIF(M173,TODAY(),"Y")</f>
        <v/>
      </c>
      <c r="Q173" s="0">
        <f>UPPER(LEFT(D173,1)&amp;MID(D173,FIND(" ",D173)+1,1))</f>
        <v/>
      </c>
      <c r="R173" s="44">
        <f>N173*90%</f>
        <v/>
      </c>
      <c r="S173" s="18">
        <f>NOW()</f>
        <v/>
      </c>
    </row>
    <row r="174" ht="15.75" customHeight="1" s="8">
      <c r="A174" s="5" t="inlineStr">
        <is>
          <t>TRX0171</t>
        </is>
      </c>
      <c r="B174" s="29" t="n">
        <v>45649</v>
      </c>
      <c r="C174" s="5" t="inlineStr">
        <is>
          <t>CUST021</t>
        </is>
      </c>
      <c r="D174" s="5" t="inlineStr">
        <is>
          <t>Kevin Scott</t>
        </is>
      </c>
      <c r="E174" s="5" t="inlineStr">
        <is>
          <t>P007</t>
        </is>
      </c>
      <c r="F174" s="5" t="inlineStr">
        <is>
          <t>Desk</t>
        </is>
      </c>
      <c r="G174" s="5" t="inlineStr">
        <is>
          <t>Furniture</t>
        </is>
      </c>
      <c r="H174" s="5" t="n">
        <v>2</v>
      </c>
      <c r="I174" s="42" t="n">
        <v>299.99</v>
      </c>
      <c r="J174" s="5" t="inlineStr">
        <is>
          <t>PayPal</t>
        </is>
      </c>
      <c r="K174" s="5" t="inlineStr">
        <is>
          <t>South</t>
        </is>
      </c>
      <c r="L174" s="5" t="inlineStr">
        <is>
          <t>Basic</t>
        </is>
      </c>
      <c r="M174" s="29" t="n">
        <v>44721</v>
      </c>
      <c r="N174" s="42" t="n">
        <v>599.98</v>
      </c>
      <c r="O174" s="0">
        <f>TEXT(B174,"yyyy-mm")</f>
        <v/>
      </c>
      <c r="P174" s="43">
        <f>DATEDIF(M174,TODAY(),"Y")</f>
        <v/>
      </c>
      <c r="Q174" s="0">
        <f>UPPER(LEFT(D174,1)&amp;MID(D174,FIND(" ",D174)+1,1))</f>
        <v/>
      </c>
      <c r="R174" s="44">
        <f>N174*90%</f>
        <v/>
      </c>
      <c r="S174" s="18">
        <f>NOW()</f>
        <v/>
      </c>
    </row>
    <row r="175" ht="15.75" customHeight="1" s="8">
      <c r="A175" s="5" t="inlineStr">
        <is>
          <t>TRX0143</t>
        </is>
      </c>
      <c r="B175" s="29" t="n">
        <v>45654</v>
      </c>
      <c r="C175" s="5" t="inlineStr">
        <is>
          <t>CUST003</t>
        </is>
      </c>
      <c r="D175" s="5" t="inlineStr">
        <is>
          <t>Michael Brown</t>
        </is>
      </c>
      <c r="E175" s="5" t="inlineStr">
        <is>
          <t>P007</t>
        </is>
      </c>
      <c r="F175" s="5" t="inlineStr">
        <is>
          <t>Desk</t>
        </is>
      </c>
      <c r="G175" s="5" t="inlineStr">
        <is>
          <t>Furniture</t>
        </is>
      </c>
      <c r="H175" s="5" t="n">
        <v>2</v>
      </c>
      <c r="I175" s="42" t="n">
        <v>299.99</v>
      </c>
      <c r="J175" s="5" t="inlineStr">
        <is>
          <t>Cash</t>
        </is>
      </c>
      <c r="K175" s="5" t="inlineStr">
        <is>
          <t>West</t>
        </is>
      </c>
      <c r="L175" s="5" t="inlineStr">
        <is>
          <t>Basic</t>
        </is>
      </c>
      <c r="M175" s="29" t="n">
        <v>44771</v>
      </c>
      <c r="N175" s="42" t="n">
        <v>599.98</v>
      </c>
      <c r="O175" s="0">
        <f>TEXT(B175,"yyyy-mm")</f>
        <v/>
      </c>
      <c r="P175" s="43">
        <f>DATEDIF(M175,TODAY(),"Y")</f>
        <v/>
      </c>
      <c r="Q175" s="0">
        <f>UPPER(LEFT(D175,1)&amp;MID(D175,FIND(" ",D175)+1,1))</f>
        <v/>
      </c>
      <c r="R175" s="44">
        <f>N175*90%</f>
        <v/>
      </c>
      <c r="S175" s="18">
        <f>NOW()</f>
        <v/>
      </c>
    </row>
    <row r="176" ht="15.75" customHeight="1" s="8">
      <c r="A176" s="5" t="inlineStr">
        <is>
          <t>TRX0165</t>
        </is>
      </c>
      <c r="B176" s="29" t="n">
        <v>45654</v>
      </c>
      <c r="C176" s="5" t="inlineStr">
        <is>
          <t>CUST030</t>
        </is>
      </c>
      <c r="D176" s="5" t="inlineStr">
        <is>
          <t>Helen Roberts</t>
        </is>
      </c>
      <c r="E176" s="5" t="inlineStr">
        <is>
          <t>P006</t>
        </is>
      </c>
      <c r="F176" s="5" t="inlineStr">
        <is>
          <t>Office Chair</t>
        </is>
      </c>
      <c r="G176" s="5" t="inlineStr">
        <is>
          <t>Furniture</t>
        </is>
      </c>
      <c r="H176" s="5" t="n">
        <v>4</v>
      </c>
      <c r="I176" s="42" t="n">
        <v>199.99</v>
      </c>
      <c r="J176" s="5" t="inlineStr">
        <is>
          <t>Credit Card</t>
        </is>
      </c>
      <c r="K176" s="5" t="inlineStr">
        <is>
          <t>Central</t>
        </is>
      </c>
      <c r="L176" s="5" t="inlineStr">
        <is>
          <t>Basic</t>
        </is>
      </c>
      <c r="M176" s="29" t="n">
        <v>44523</v>
      </c>
      <c r="N176" s="42" t="n">
        <v>799.96</v>
      </c>
      <c r="O176" s="0">
        <f>TEXT(B176,"yyyy-mm")</f>
        <v/>
      </c>
      <c r="P176" s="43">
        <f>DATEDIF(M176,TODAY(),"Y")</f>
        <v/>
      </c>
      <c r="Q176" s="0">
        <f>UPPER(LEFT(D176,1)&amp;MID(D176,FIND(" ",D176)+1,1))</f>
        <v/>
      </c>
      <c r="R176" s="44">
        <f>N176*90%</f>
        <v/>
      </c>
      <c r="S176" s="18">
        <f>NOW()</f>
        <v/>
      </c>
    </row>
    <row r="177" ht="15.75" customHeight="1" s="8">
      <c r="A177" s="5" t="inlineStr">
        <is>
          <t>TRX0156</t>
        </is>
      </c>
      <c r="B177" s="29" t="n">
        <v>45655</v>
      </c>
      <c r="C177" s="5" t="inlineStr">
        <is>
          <t>CUST009</t>
        </is>
      </c>
      <c r="D177" s="5" t="inlineStr">
        <is>
          <t>Robert Thomas</t>
        </is>
      </c>
      <c r="E177" s="5" t="inlineStr">
        <is>
          <t>P010</t>
        </is>
      </c>
      <c r="F177" s="5" t="inlineStr">
        <is>
          <t>Keyboard</t>
        </is>
      </c>
      <c r="G177" s="5" t="inlineStr">
        <is>
          <t>Electronics</t>
        </is>
      </c>
      <c r="H177" s="5" t="n">
        <v>1</v>
      </c>
      <c r="I177" s="42" t="n">
        <v>89.98999999999999</v>
      </c>
      <c r="J177" s="5" t="inlineStr">
        <is>
          <t>Credit Card</t>
        </is>
      </c>
      <c r="K177" s="5" t="inlineStr">
        <is>
          <t>South</t>
        </is>
      </c>
      <c r="L177" s="5" t="inlineStr">
        <is>
          <t>Premium</t>
        </is>
      </c>
      <c r="M177" s="29" t="n">
        <v>44591</v>
      </c>
      <c r="N177" s="42" t="n">
        <v>89.98999999999999</v>
      </c>
      <c r="O177" s="0">
        <f>TEXT(B177,"yyyy-mm")</f>
        <v/>
      </c>
      <c r="P177" s="43">
        <f>DATEDIF(M177,TODAY(),"Y")</f>
        <v/>
      </c>
      <c r="Q177" s="0">
        <f>UPPER(LEFT(D177,1)&amp;MID(D177,FIND(" ",D177)+1,1))</f>
        <v/>
      </c>
      <c r="R177" s="44">
        <f>N177*90%</f>
        <v/>
      </c>
      <c r="S177" s="18">
        <f>NOW()</f>
        <v/>
      </c>
    </row>
    <row r="178" ht="15.75" customHeight="1" s="8">
      <c r="A178" s="5" t="inlineStr">
        <is>
          <t>TRX0147</t>
        </is>
      </c>
      <c r="B178" s="29" t="n">
        <v>45655</v>
      </c>
      <c r="C178" s="5" t="inlineStr">
        <is>
          <t>CUST036</t>
        </is>
      </c>
      <c r="D178" s="5" t="inlineStr">
        <is>
          <t>Nancy Collins</t>
        </is>
      </c>
      <c r="E178" s="5" t="inlineStr">
        <is>
          <t>P008</t>
        </is>
      </c>
      <c r="F178" s="5" t="inlineStr">
        <is>
          <t>Bookshelf</t>
        </is>
      </c>
      <c r="G178" s="5" t="inlineStr">
        <is>
          <t>Furniture</t>
        </is>
      </c>
      <c r="H178" s="5" t="n">
        <v>5</v>
      </c>
      <c r="I178" s="42" t="n">
        <v>149.99</v>
      </c>
      <c r="J178" s="5" t="inlineStr">
        <is>
          <t>Cash</t>
        </is>
      </c>
      <c r="K178" s="5" t="inlineStr">
        <is>
          <t>Central</t>
        </is>
      </c>
      <c r="L178" s="5" t="inlineStr">
        <is>
          <t>Premium</t>
        </is>
      </c>
      <c r="M178" s="29" t="n">
        <v>45347</v>
      </c>
      <c r="N178" s="42" t="n">
        <v>749.95</v>
      </c>
      <c r="O178" s="0">
        <f>TEXT(B178,"yyyy-mm")</f>
        <v/>
      </c>
      <c r="P178" s="43">
        <f>DATEDIF(M178,TODAY(),"Y")</f>
        <v/>
      </c>
      <c r="Q178" s="0">
        <f>UPPER(LEFT(D178,1)&amp;MID(D178,FIND(" ",D178)+1,1))</f>
        <v/>
      </c>
      <c r="R178" s="44">
        <f>N178*90%</f>
        <v/>
      </c>
      <c r="S178" s="18">
        <f>NOW()</f>
        <v/>
      </c>
    </row>
    <row r="179" ht="15.75" customHeight="1" s="8">
      <c r="A179" s="5" t="inlineStr">
        <is>
          <t>TRX0207</t>
        </is>
      </c>
      <c r="B179" s="29" t="n">
        <v>45657</v>
      </c>
      <c r="C179" s="5" t="inlineStr">
        <is>
          <t>CUST025</t>
        </is>
      </c>
      <c r="D179" s="5" t="inlineStr">
        <is>
          <t>Mark Carter</t>
        </is>
      </c>
      <c r="E179" s="5" t="inlineStr">
        <is>
          <t>P001</t>
        </is>
      </c>
      <c r="F179" s="5" t="inlineStr">
        <is>
          <t>Laptop</t>
        </is>
      </c>
      <c r="G179" s="5" t="inlineStr">
        <is>
          <t>Electronics</t>
        </is>
      </c>
      <c r="H179" s="5" t="n">
        <v>1</v>
      </c>
      <c r="I179" s="42" t="n">
        <v>899.99</v>
      </c>
      <c r="J179" s="5" t="inlineStr">
        <is>
          <t>PayPal</t>
        </is>
      </c>
      <c r="K179" s="5" t="inlineStr">
        <is>
          <t>North</t>
        </is>
      </c>
      <c r="L179" s="5" t="inlineStr">
        <is>
          <t>Premium</t>
        </is>
      </c>
      <c r="M179" s="29" t="n">
        <v>45050</v>
      </c>
      <c r="N179" s="42" t="n">
        <v>899.99</v>
      </c>
      <c r="O179" s="0">
        <f>TEXT(B179,"yyyy-mm")</f>
        <v/>
      </c>
      <c r="P179" s="43">
        <f>DATEDIF(M179,TODAY(),"Y")</f>
        <v/>
      </c>
      <c r="Q179" s="0">
        <f>UPPER(LEFT(D179,1)&amp;MID(D179,FIND(" ",D179)+1,1))</f>
        <v/>
      </c>
      <c r="R179" s="44">
        <f>N179*90%</f>
        <v/>
      </c>
      <c r="S179" s="18">
        <f>NOW()</f>
        <v/>
      </c>
    </row>
    <row r="180" ht="15.75" customHeight="1" s="8">
      <c r="A180" s="5" t="inlineStr">
        <is>
          <t>TRX0056</t>
        </is>
      </c>
      <c r="B180" s="29" t="n">
        <v>45660</v>
      </c>
      <c r="C180" s="5" t="inlineStr">
        <is>
          <t>CUST019</t>
        </is>
      </c>
      <c r="D180" s="5" t="inlineStr">
        <is>
          <t>Daniel King</t>
        </is>
      </c>
      <c r="E180" s="5" t="inlineStr">
        <is>
          <t>P010</t>
        </is>
      </c>
      <c r="F180" s="5" t="inlineStr">
        <is>
          <t>Keyboard</t>
        </is>
      </c>
      <c r="G180" s="5" t="inlineStr">
        <is>
          <t>Electronics</t>
        </is>
      </c>
      <c r="H180" s="5" t="n">
        <v>2</v>
      </c>
      <c r="I180" s="42" t="n">
        <v>89.98999999999999</v>
      </c>
      <c r="J180" s="5" t="inlineStr">
        <is>
          <t>Credit Card</t>
        </is>
      </c>
      <c r="K180" s="5" t="inlineStr">
        <is>
          <t>South</t>
        </is>
      </c>
      <c r="L180" s="5" t="inlineStr">
        <is>
          <t>Premium</t>
        </is>
      </c>
      <c r="M180" s="29" t="n">
        <v>44564</v>
      </c>
      <c r="N180" s="42" t="n">
        <v>179.98</v>
      </c>
      <c r="O180" s="0">
        <f>TEXT(B180,"yyyy-mm")</f>
        <v/>
      </c>
      <c r="P180" s="43">
        <f>DATEDIF(M180,TODAY(),"Y")</f>
        <v/>
      </c>
      <c r="Q180" s="0">
        <f>UPPER(LEFT(D180,1)&amp;MID(D180,FIND(" ",D180)+1,1))</f>
        <v/>
      </c>
      <c r="R180" s="44">
        <f>N180*90%</f>
        <v/>
      </c>
      <c r="S180" s="18">
        <f>NOW()</f>
        <v/>
      </c>
    </row>
    <row r="181" ht="15.75" customHeight="1" s="8">
      <c r="A181" s="5" t="inlineStr">
        <is>
          <t>TRX0026</t>
        </is>
      </c>
      <c r="B181" s="29" t="n">
        <v>45661</v>
      </c>
      <c r="C181" s="5" t="inlineStr">
        <is>
          <t>CUST037</t>
        </is>
      </c>
      <c r="D181" s="5" t="inlineStr">
        <is>
          <t>Arthur Edwards</t>
        </is>
      </c>
      <c r="E181" s="5" t="inlineStr">
        <is>
          <t>P001</t>
        </is>
      </c>
      <c r="F181" s="5" t="inlineStr">
        <is>
          <t>Laptop</t>
        </is>
      </c>
      <c r="G181" s="5" t="inlineStr">
        <is>
          <t>Electronics</t>
        </is>
      </c>
      <c r="H181" s="5" t="n">
        <v>1</v>
      </c>
      <c r="I181" s="42" t="n">
        <v>899.99</v>
      </c>
      <c r="J181" s="5" t="inlineStr">
        <is>
          <t>PayPal</t>
        </is>
      </c>
      <c r="K181" s="5" t="inlineStr">
        <is>
          <t>North</t>
        </is>
      </c>
      <c r="L181" s="5" t="inlineStr">
        <is>
          <t>Standard</t>
        </is>
      </c>
      <c r="M181" s="29" t="n">
        <v>44752</v>
      </c>
      <c r="N181" s="42" t="n">
        <v>899.99</v>
      </c>
      <c r="O181" s="0">
        <f>TEXT(B181,"yyyy-mm")</f>
        <v/>
      </c>
      <c r="P181" s="43">
        <f>DATEDIF(M181,TODAY(),"Y")</f>
        <v/>
      </c>
      <c r="Q181" s="0">
        <f>UPPER(LEFT(D181,1)&amp;MID(D181,FIND(" ",D181)+1,1))</f>
        <v/>
      </c>
      <c r="R181" s="44">
        <f>N181*90%</f>
        <v/>
      </c>
      <c r="S181" s="18">
        <f>NOW()</f>
        <v/>
      </c>
    </row>
    <row r="182" ht="15.75" customHeight="1" s="8">
      <c r="A182" s="5" t="inlineStr">
        <is>
          <t>TRX0237</t>
        </is>
      </c>
      <c r="B182" s="29" t="n">
        <v>45663</v>
      </c>
      <c r="C182" s="5" t="inlineStr">
        <is>
          <t>CUST006</t>
        </is>
      </c>
      <c r="D182" s="5" t="inlineStr">
        <is>
          <t>Lisa Anderson</t>
        </is>
      </c>
      <c r="E182" s="5" t="inlineStr">
        <is>
          <t>P003</t>
        </is>
      </c>
      <c r="F182" s="5" t="inlineStr">
        <is>
          <t>Headphones</t>
        </is>
      </c>
      <c r="G182" s="5" t="inlineStr">
        <is>
          <t>Electronics</t>
        </is>
      </c>
      <c r="H182" s="5" t="n">
        <v>5</v>
      </c>
      <c r="I182" s="42" t="n">
        <v>149.99</v>
      </c>
      <c r="J182" s="5" t="inlineStr">
        <is>
          <t>PayPal</t>
        </is>
      </c>
      <c r="K182" s="5" t="inlineStr">
        <is>
          <t>East</t>
        </is>
      </c>
      <c r="L182" s="5" t="inlineStr">
        <is>
          <t>Premium</t>
        </is>
      </c>
      <c r="M182" s="29" t="n">
        <v>44824</v>
      </c>
      <c r="N182" s="42" t="n">
        <v>749.95</v>
      </c>
      <c r="O182" s="0">
        <f>TEXT(B182,"yyyy-mm")</f>
        <v/>
      </c>
      <c r="P182" s="43">
        <f>DATEDIF(M182,TODAY(),"Y")</f>
        <v/>
      </c>
      <c r="Q182" s="0">
        <f>UPPER(LEFT(D182,1)&amp;MID(D182,FIND(" ",D182)+1,1))</f>
        <v/>
      </c>
      <c r="R182" s="44">
        <f>N182*90%</f>
        <v/>
      </c>
      <c r="S182" s="18">
        <f>NOW()</f>
        <v/>
      </c>
    </row>
    <row r="183" ht="15.75" customHeight="1" s="8">
      <c r="A183" s="5" t="inlineStr">
        <is>
          <t>TRX0091</t>
        </is>
      </c>
      <c r="B183" s="29" t="n">
        <v>45663</v>
      </c>
      <c r="C183" s="5" t="inlineStr">
        <is>
          <t>CUST003</t>
        </is>
      </c>
      <c r="D183" s="5" t="inlineStr">
        <is>
          <t>Michael Brown</t>
        </is>
      </c>
      <c r="E183" s="5" t="inlineStr">
        <is>
          <t>P007</t>
        </is>
      </c>
      <c r="F183" s="5" t="inlineStr">
        <is>
          <t>Desk</t>
        </is>
      </c>
      <c r="G183" s="5" t="inlineStr">
        <is>
          <t>Furniture</t>
        </is>
      </c>
      <c r="H183" s="5" t="n">
        <v>3</v>
      </c>
      <c r="I183" s="42" t="n">
        <v>299.99</v>
      </c>
      <c r="J183" s="5" t="inlineStr">
        <is>
          <t>Cash</t>
        </is>
      </c>
      <c r="K183" s="5" t="inlineStr">
        <is>
          <t>South</t>
        </is>
      </c>
      <c r="L183" s="5" t="inlineStr">
        <is>
          <t>Standard</t>
        </is>
      </c>
      <c r="M183" s="29" t="n">
        <v>44422</v>
      </c>
      <c r="N183" s="42" t="n">
        <v>899.97</v>
      </c>
      <c r="O183" s="0">
        <f>TEXT(B183,"yyyy-mm")</f>
        <v/>
      </c>
      <c r="P183" s="43">
        <f>DATEDIF(M183,TODAY(),"Y")</f>
        <v/>
      </c>
      <c r="Q183" s="0">
        <f>UPPER(LEFT(D183,1)&amp;MID(D183,FIND(" ",D183)+1,1))</f>
        <v/>
      </c>
      <c r="R183" s="44">
        <f>N183*90%</f>
        <v/>
      </c>
      <c r="S183" s="18">
        <f>NOW()</f>
        <v/>
      </c>
    </row>
    <row r="184" ht="15.75" customHeight="1" s="8">
      <c r="A184" s="5" t="inlineStr">
        <is>
          <t>TRX0125</t>
        </is>
      </c>
      <c r="B184" s="29" t="n">
        <v>45666</v>
      </c>
      <c r="C184" s="5" t="inlineStr">
        <is>
          <t>CUST026</t>
        </is>
      </c>
      <c r="D184" s="5" t="inlineStr">
        <is>
          <t>Karen Hill</t>
        </is>
      </c>
      <c r="E184" s="5" t="inlineStr">
        <is>
          <t>P002</t>
        </is>
      </c>
      <c r="F184" s="5" t="inlineStr">
        <is>
          <t>Smartphone</t>
        </is>
      </c>
      <c r="G184" s="5" t="inlineStr">
        <is>
          <t>Electronics</t>
        </is>
      </c>
      <c r="H184" s="5" t="n">
        <v>3</v>
      </c>
      <c r="I184" s="42" t="n">
        <v>699.99</v>
      </c>
      <c r="J184" s="5" t="inlineStr">
        <is>
          <t>Credit Card</t>
        </is>
      </c>
      <c r="K184" s="5" t="inlineStr">
        <is>
          <t>Central</t>
        </is>
      </c>
      <c r="L184" s="5" t="inlineStr">
        <is>
          <t>Premium</t>
        </is>
      </c>
      <c r="M184" s="29" t="n">
        <v>45105</v>
      </c>
      <c r="N184" s="42" t="n">
        <v>2099.97</v>
      </c>
      <c r="O184" s="0">
        <f>TEXT(B184,"yyyy-mm")</f>
        <v/>
      </c>
      <c r="P184" s="43">
        <f>DATEDIF(M184,TODAY(),"Y")</f>
        <v/>
      </c>
      <c r="Q184" s="0">
        <f>UPPER(LEFT(D184,1)&amp;MID(D184,FIND(" ",D184)+1,1))</f>
        <v/>
      </c>
      <c r="R184" s="44">
        <f>N184*90%</f>
        <v/>
      </c>
      <c r="S184" s="18">
        <f>NOW()</f>
        <v/>
      </c>
    </row>
    <row r="185" ht="15.75" customHeight="1" s="8">
      <c r="A185" s="5" t="inlineStr">
        <is>
          <t>TRX0223</t>
        </is>
      </c>
      <c r="B185" s="29" t="n">
        <v>45667</v>
      </c>
      <c r="C185" s="5" t="inlineStr">
        <is>
          <t>CUST036</t>
        </is>
      </c>
      <c r="D185" s="5" t="inlineStr">
        <is>
          <t>Nancy Collins</t>
        </is>
      </c>
      <c r="E185" s="5" t="inlineStr">
        <is>
          <t>P006</t>
        </is>
      </c>
      <c r="F185" s="5" t="inlineStr">
        <is>
          <t>Office Chair</t>
        </is>
      </c>
      <c r="G185" s="5" t="inlineStr">
        <is>
          <t>Furniture</t>
        </is>
      </c>
      <c r="H185" s="5" t="n">
        <v>5</v>
      </c>
      <c r="I185" s="42" t="n">
        <v>199.99</v>
      </c>
      <c r="J185" s="5" t="inlineStr">
        <is>
          <t>PayPal</t>
        </is>
      </c>
      <c r="K185" s="5" t="inlineStr">
        <is>
          <t>Central</t>
        </is>
      </c>
      <c r="L185" s="5" t="inlineStr">
        <is>
          <t>Standard</t>
        </is>
      </c>
      <c r="M185" s="29" t="n">
        <v>44633</v>
      </c>
      <c r="N185" s="42" t="n">
        <v>999.95</v>
      </c>
      <c r="O185" s="0">
        <f>TEXT(B185,"yyyy-mm")</f>
        <v/>
      </c>
      <c r="P185" s="43">
        <f>DATEDIF(M185,TODAY(),"Y")</f>
        <v/>
      </c>
      <c r="Q185" s="0">
        <f>UPPER(LEFT(D185,1)&amp;MID(D185,FIND(" ",D185)+1,1))</f>
        <v/>
      </c>
      <c r="R185" s="44">
        <f>N185*90%</f>
        <v/>
      </c>
      <c r="S185" s="18">
        <f>NOW()</f>
        <v/>
      </c>
    </row>
    <row r="186" ht="15.75" customHeight="1" s="8">
      <c r="A186" s="5" t="inlineStr">
        <is>
          <t>TRX0243</t>
        </is>
      </c>
      <c r="B186" s="29" t="n">
        <v>45667</v>
      </c>
      <c r="C186" s="5" t="inlineStr">
        <is>
          <t>CUST048</t>
        </is>
      </c>
      <c r="D186" s="5" t="inlineStr">
        <is>
          <t>Virginia Sanders</t>
        </is>
      </c>
      <c r="E186" s="5" t="inlineStr">
        <is>
          <t>P009</t>
        </is>
      </c>
      <c r="F186" s="5" t="inlineStr">
        <is>
          <t>Monitor</t>
        </is>
      </c>
      <c r="G186" s="5" t="inlineStr">
        <is>
          <t>Electronics</t>
        </is>
      </c>
      <c r="H186" s="5" t="n">
        <v>5</v>
      </c>
      <c r="I186" s="42" t="n">
        <v>249.99</v>
      </c>
      <c r="J186" s="5" t="inlineStr">
        <is>
          <t>Credit Card</t>
        </is>
      </c>
      <c r="K186" s="5" t="inlineStr">
        <is>
          <t>South</t>
        </is>
      </c>
      <c r="L186" s="5" t="inlineStr">
        <is>
          <t>Basic</t>
        </is>
      </c>
      <c r="M186" s="29" t="n">
        <v>45330</v>
      </c>
      <c r="N186" s="42" t="n">
        <v>1249.95</v>
      </c>
      <c r="O186" s="0">
        <f>TEXT(B186,"yyyy-mm")</f>
        <v/>
      </c>
      <c r="P186" s="43">
        <f>DATEDIF(M186,TODAY(),"Y")</f>
        <v/>
      </c>
      <c r="Q186" s="0">
        <f>UPPER(LEFT(D186,1)&amp;MID(D186,FIND(" ",D186)+1,1))</f>
        <v/>
      </c>
      <c r="R186" s="44">
        <f>N186*90%</f>
        <v/>
      </c>
      <c r="S186" s="18">
        <f>NOW()</f>
        <v/>
      </c>
    </row>
    <row r="187" ht="15.75" customHeight="1" s="8">
      <c r="A187" s="5" t="inlineStr">
        <is>
          <t>TRX0084</t>
        </is>
      </c>
      <c r="B187" s="29" t="n">
        <v>45668</v>
      </c>
      <c r="C187" s="5" t="inlineStr">
        <is>
          <t>CUST031</t>
        </is>
      </c>
      <c r="D187" s="5" t="inlineStr">
        <is>
          <t>Steven Turner</t>
        </is>
      </c>
      <c r="E187" s="5" t="inlineStr">
        <is>
          <t>P003</t>
        </is>
      </c>
      <c r="F187" s="5" t="inlineStr">
        <is>
          <t>Headphones</t>
        </is>
      </c>
      <c r="G187" s="5" t="inlineStr">
        <is>
          <t>Electronics</t>
        </is>
      </c>
      <c r="H187" s="5" t="n">
        <v>4</v>
      </c>
      <c r="I187" s="42" t="n">
        <v>149.99</v>
      </c>
      <c r="J187" s="5" t="inlineStr">
        <is>
          <t>Debit Card</t>
        </is>
      </c>
      <c r="K187" s="5" t="inlineStr">
        <is>
          <t>East</t>
        </is>
      </c>
      <c r="L187" s="5" t="inlineStr">
        <is>
          <t>Standard</t>
        </is>
      </c>
      <c r="M187" s="29" t="n">
        <v>44536</v>
      </c>
      <c r="N187" s="42" t="n">
        <v>599.96</v>
      </c>
      <c r="O187" s="0">
        <f>TEXT(B187,"yyyy-mm")</f>
        <v/>
      </c>
      <c r="P187" s="43">
        <f>DATEDIF(M187,TODAY(),"Y")</f>
        <v/>
      </c>
      <c r="Q187" s="0">
        <f>UPPER(LEFT(D187,1)&amp;MID(D187,FIND(" ",D187)+1,1))</f>
        <v/>
      </c>
      <c r="R187" s="44">
        <f>N187*90%</f>
        <v/>
      </c>
      <c r="S187" s="18">
        <f>NOW()</f>
        <v/>
      </c>
    </row>
    <row r="188" ht="15.75" customHeight="1" s="8">
      <c r="A188" s="5" t="inlineStr">
        <is>
          <t>TRX0238</t>
        </is>
      </c>
      <c r="B188" s="29" t="n">
        <v>45668</v>
      </c>
      <c r="C188" s="5" t="inlineStr">
        <is>
          <t>CUST038</t>
        </is>
      </c>
      <c r="D188" s="5" t="inlineStr">
        <is>
          <t>Michelle Rogers</t>
        </is>
      </c>
      <c r="E188" s="5" t="inlineStr">
        <is>
          <t>P002</t>
        </is>
      </c>
      <c r="F188" s="5" t="inlineStr">
        <is>
          <t>Smartphone</t>
        </is>
      </c>
      <c r="G188" s="5" t="inlineStr">
        <is>
          <t>Electronics</t>
        </is>
      </c>
      <c r="H188" s="5" t="n">
        <v>3</v>
      </c>
      <c r="I188" s="42" t="n">
        <v>699.99</v>
      </c>
      <c r="J188" s="5" t="inlineStr">
        <is>
          <t>Cash</t>
        </is>
      </c>
      <c r="K188" s="5" t="inlineStr">
        <is>
          <t>North</t>
        </is>
      </c>
      <c r="L188" s="5" t="inlineStr">
        <is>
          <t>Premium</t>
        </is>
      </c>
      <c r="M188" s="29" t="n">
        <v>44602</v>
      </c>
      <c r="N188" s="42" t="n">
        <v>2099.97</v>
      </c>
      <c r="O188" s="0">
        <f>TEXT(B188,"yyyy-mm")</f>
        <v/>
      </c>
      <c r="P188" s="43">
        <f>DATEDIF(M188,TODAY(),"Y")</f>
        <v/>
      </c>
      <c r="Q188" s="0">
        <f>UPPER(LEFT(D188,1)&amp;MID(D188,FIND(" ",D188)+1,1))</f>
        <v/>
      </c>
      <c r="R188" s="44">
        <f>N188*90%</f>
        <v/>
      </c>
      <c r="S188" s="18">
        <f>NOW()</f>
        <v/>
      </c>
    </row>
    <row r="189" ht="15.75" customHeight="1" s="8">
      <c r="A189" s="5" t="inlineStr">
        <is>
          <t>TRX0102</t>
        </is>
      </c>
      <c r="B189" s="29" t="n">
        <v>45670</v>
      </c>
      <c r="C189" s="5" t="inlineStr">
        <is>
          <t>CUST045</t>
        </is>
      </c>
      <c r="D189" s="5" t="inlineStr">
        <is>
          <t>Douglas Watson</t>
        </is>
      </c>
      <c r="E189" s="5" t="inlineStr">
        <is>
          <t>P004</t>
        </is>
      </c>
      <c r="F189" s="5" t="inlineStr">
        <is>
          <t>Coffee Maker</t>
        </is>
      </c>
      <c r="G189" s="5" t="inlineStr">
        <is>
          <t>Appliances</t>
        </is>
      </c>
      <c r="H189" s="5" t="n">
        <v>1</v>
      </c>
      <c r="I189" s="42" t="n">
        <v>79.98999999999999</v>
      </c>
      <c r="J189" s="5" t="inlineStr">
        <is>
          <t>Credit Card</t>
        </is>
      </c>
      <c r="K189" s="5" t="inlineStr">
        <is>
          <t>South</t>
        </is>
      </c>
      <c r="L189" s="5" t="inlineStr">
        <is>
          <t>Basic</t>
        </is>
      </c>
      <c r="M189" s="29" t="n">
        <v>45322</v>
      </c>
      <c r="N189" s="42" t="n">
        <v>79.98999999999999</v>
      </c>
      <c r="O189" s="0">
        <f>TEXT(B189,"yyyy-mm")</f>
        <v/>
      </c>
      <c r="P189" s="43">
        <f>DATEDIF(M189,TODAY(),"Y")</f>
        <v/>
      </c>
      <c r="Q189" s="0">
        <f>UPPER(LEFT(D189,1)&amp;MID(D189,FIND(" ",D189)+1,1))</f>
        <v/>
      </c>
      <c r="R189" s="44">
        <f>N189*90%</f>
        <v/>
      </c>
      <c r="S189" s="18">
        <f>NOW()</f>
        <v/>
      </c>
    </row>
    <row r="190" ht="15.75" customHeight="1" s="8">
      <c r="A190" s="5" t="inlineStr">
        <is>
          <t>TRX0022</t>
        </is>
      </c>
      <c r="B190" s="29" t="n">
        <v>45670</v>
      </c>
      <c r="C190" s="5" t="inlineStr">
        <is>
          <t>CUST025</t>
        </is>
      </c>
      <c r="D190" s="5" t="inlineStr">
        <is>
          <t>Mark Carter</t>
        </is>
      </c>
      <c r="E190" s="5" t="inlineStr">
        <is>
          <t>P007</t>
        </is>
      </c>
      <c r="F190" s="5" t="inlineStr">
        <is>
          <t>Desk</t>
        </is>
      </c>
      <c r="G190" s="5" t="inlineStr">
        <is>
          <t>Furniture</t>
        </is>
      </c>
      <c r="H190" s="5" t="n">
        <v>1</v>
      </c>
      <c r="I190" s="42" t="n">
        <v>299.99</v>
      </c>
      <c r="J190" s="5" t="inlineStr">
        <is>
          <t>Credit Card</t>
        </is>
      </c>
      <c r="K190" s="5" t="inlineStr">
        <is>
          <t>North</t>
        </is>
      </c>
      <c r="L190" s="5" t="inlineStr">
        <is>
          <t>Basic</t>
        </is>
      </c>
      <c r="M190" s="29" t="n">
        <v>44436</v>
      </c>
      <c r="N190" s="42" t="n">
        <v>299.99</v>
      </c>
      <c r="O190" s="0">
        <f>TEXT(B190,"yyyy-mm")</f>
        <v/>
      </c>
      <c r="P190" s="43">
        <f>DATEDIF(M190,TODAY(),"Y")</f>
        <v/>
      </c>
      <c r="Q190" s="0">
        <f>UPPER(LEFT(D190,1)&amp;MID(D190,FIND(" ",D190)+1,1))</f>
        <v/>
      </c>
      <c r="R190" s="44">
        <f>N190*90%</f>
        <v/>
      </c>
      <c r="S190" s="18">
        <f>NOW()</f>
        <v/>
      </c>
    </row>
    <row r="191" ht="15.75" customHeight="1" s="8">
      <c r="A191" s="5" t="inlineStr">
        <is>
          <t>TRX0087</t>
        </is>
      </c>
      <c r="B191" s="29" t="n">
        <v>45671</v>
      </c>
      <c r="C191" s="5" t="inlineStr">
        <is>
          <t>CUST028</t>
        </is>
      </c>
      <c r="D191" s="5" t="inlineStr">
        <is>
          <t>Betty Campbell</t>
        </is>
      </c>
      <c r="E191" s="5" t="inlineStr">
        <is>
          <t>P009</t>
        </is>
      </c>
      <c r="F191" s="5" t="inlineStr">
        <is>
          <t>Monitor</t>
        </is>
      </c>
      <c r="G191" s="5" t="inlineStr">
        <is>
          <t>Electronics</t>
        </is>
      </c>
      <c r="H191" s="5" t="n">
        <v>4</v>
      </c>
      <c r="I191" s="42" t="n">
        <v>249.99</v>
      </c>
      <c r="J191" s="5" t="inlineStr">
        <is>
          <t>Credit Card</t>
        </is>
      </c>
      <c r="K191" s="5" t="inlineStr">
        <is>
          <t>North</t>
        </is>
      </c>
      <c r="L191" s="5" t="inlineStr">
        <is>
          <t>Premium</t>
        </is>
      </c>
      <c r="M191" s="29" t="n">
        <v>44460</v>
      </c>
      <c r="N191" s="42" t="n">
        <v>999.96</v>
      </c>
      <c r="O191" s="0">
        <f>TEXT(B191,"yyyy-mm")</f>
        <v/>
      </c>
      <c r="P191" s="43">
        <f>DATEDIF(M191,TODAY(),"Y")</f>
        <v/>
      </c>
      <c r="Q191" s="0">
        <f>UPPER(LEFT(D191,1)&amp;MID(D191,FIND(" ",D191)+1,1))</f>
        <v/>
      </c>
      <c r="R191" s="44">
        <f>N191*90%</f>
        <v/>
      </c>
      <c r="S191" s="18">
        <f>NOW()</f>
        <v/>
      </c>
    </row>
    <row r="192" ht="15.75" customHeight="1" s="8">
      <c r="A192" s="5" t="inlineStr">
        <is>
          <t>TRX0107</t>
        </is>
      </c>
      <c r="B192" s="29" t="n">
        <v>45671</v>
      </c>
      <c r="C192" s="5" t="inlineStr">
        <is>
          <t>CUST030</t>
        </is>
      </c>
      <c r="D192" s="5" t="inlineStr">
        <is>
          <t>Helen Roberts</t>
        </is>
      </c>
      <c r="E192" s="5" t="inlineStr">
        <is>
          <t>P003</t>
        </is>
      </c>
      <c r="F192" s="5" t="inlineStr">
        <is>
          <t>Headphones</t>
        </is>
      </c>
      <c r="G192" s="5" t="inlineStr">
        <is>
          <t>Electronics</t>
        </is>
      </c>
      <c r="H192" s="5" t="n">
        <v>2</v>
      </c>
      <c r="I192" s="42" t="n">
        <v>149.99</v>
      </c>
      <c r="J192" s="5" t="inlineStr">
        <is>
          <t>Cash</t>
        </is>
      </c>
      <c r="K192" s="5" t="inlineStr">
        <is>
          <t>North</t>
        </is>
      </c>
      <c r="L192" s="5" t="inlineStr">
        <is>
          <t>Standard</t>
        </is>
      </c>
      <c r="M192" s="29" t="n">
        <v>44913</v>
      </c>
      <c r="N192" s="42" t="n">
        <v>299.98</v>
      </c>
      <c r="O192" s="0">
        <f>TEXT(B192,"yyyy-mm")</f>
        <v/>
      </c>
      <c r="P192" s="43">
        <f>DATEDIF(M192,TODAY(),"Y")</f>
        <v/>
      </c>
      <c r="Q192" s="0">
        <f>UPPER(LEFT(D192,1)&amp;MID(D192,FIND(" ",D192)+1,1))</f>
        <v/>
      </c>
      <c r="R192" s="44">
        <f>N192*90%</f>
        <v/>
      </c>
      <c r="S192" s="18">
        <f>NOW()</f>
        <v/>
      </c>
    </row>
    <row r="193" ht="15.75" customHeight="1" s="8">
      <c r="A193" s="5" t="inlineStr">
        <is>
          <t>TRX0051</t>
        </is>
      </c>
      <c r="B193" s="29" t="n">
        <v>45671</v>
      </c>
      <c r="C193" s="5" t="inlineStr">
        <is>
          <t>CUST032</t>
        </is>
      </c>
      <c r="D193" s="5" t="inlineStr">
        <is>
          <t>Sandra Phillips</t>
        </is>
      </c>
      <c r="E193" s="5" t="inlineStr">
        <is>
          <t>P007</t>
        </is>
      </c>
      <c r="F193" s="5" t="inlineStr">
        <is>
          <t>Desk</t>
        </is>
      </c>
      <c r="G193" s="5" t="inlineStr">
        <is>
          <t>Furniture</t>
        </is>
      </c>
      <c r="H193" s="5" t="n">
        <v>3</v>
      </c>
      <c r="I193" s="42" t="n">
        <v>299.99</v>
      </c>
      <c r="J193" s="5" t="inlineStr">
        <is>
          <t>Credit Card</t>
        </is>
      </c>
      <c r="K193" s="5" t="inlineStr">
        <is>
          <t>South</t>
        </is>
      </c>
      <c r="L193" s="5" t="inlineStr">
        <is>
          <t>Basic</t>
        </is>
      </c>
      <c r="M193" s="29" t="n">
        <v>45204</v>
      </c>
      <c r="N193" s="42" t="n">
        <v>899.97</v>
      </c>
      <c r="O193" s="0">
        <f>TEXT(B193,"yyyy-mm")</f>
        <v/>
      </c>
      <c r="P193" s="43">
        <f>DATEDIF(M193,TODAY(),"Y")</f>
        <v/>
      </c>
      <c r="Q193" s="0">
        <f>UPPER(LEFT(D193,1)&amp;MID(D193,FIND(" ",D193)+1,1))</f>
        <v/>
      </c>
      <c r="R193" s="44">
        <f>N193*90%</f>
        <v/>
      </c>
      <c r="S193" s="18">
        <f>NOW()</f>
        <v/>
      </c>
    </row>
    <row r="194" ht="15.75" customHeight="1" s="8">
      <c r="A194" s="5" t="inlineStr">
        <is>
          <t>TRX0106</t>
        </is>
      </c>
      <c r="B194" s="29" t="n">
        <v>45673</v>
      </c>
      <c r="C194" s="5" t="inlineStr">
        <is>
          <t>CUST039</t>
        </is>
      </c>
      <c r="D194" s="5" t="inlineStr">
        <is>
          <t>Lawrence Reed</t>
        </is>
      </c>
      <c r="E194" s="5" t="inlineStr">
        <is>
          <t>P006</t>
        </is>
      </c>
      <c r="F194" s="5" t="inlineStr">
        <is>
          <t>Office Chair</t>
        </is>
      </c>
      <c r="G194" s="5" t="inlineStr">
        <is>
          <t>Furniture</t>
        </is>
      </c>
      <c r="H194" s="5" t="n">
        <v>4</v>
      </c>
      <c r="I194" s="42" t="n">
        <v>199.99</v>
      </c>
      <c r="J194" s="5" t="inlineStr">
        <is>
          <t>Debit Card</t>
        </is>
      </c>
      <c r="K194" s="5" t="inlineStr">
        <is>
          <t>South</t>
        </is>
      </c>
      <c r="L194" s="5" t="inlineStr">
        <is>
          <t>Standard</t>
        </is>
      </c>
      <c r="M194" s="29" t="n">
        <v>44544</v>
      </c>
      <c r="N194" s="42" t="n">
        <v>799.96</v>
      </c>
      <c r="O194" s="0">
        <f>TEXT(B194,"yyyy-mm")</f>
        <v/>
      </c>
      <c r="P194" s="43">
        <f>DATEDIF(M194,TODAY(),"Y")</f>
        <v/>
      </c>
      <c r="Q194" s="0">
        <f>UPPER(LEFT(D194,1)&amp;MID(D194,FIND(" ",D194)+1,1))</f>
        <v/>
      </c>
      <c r="R194" s="44">
        <f>N194*90%</f>
        <v/>
      </c>
      <c r="S194" s="18">
        <f>NOW()</f>
        <v/>
      </c>
    </row>
    <row r="195" ht="15.75" customHeight="1" s="8">
      <c r="A195" s="5" t="inlineStr">
        <is>
          <t>TRX0059</t>
        </is>
      </c>
      <c r="B195" s="29" t="n">
        <v>45673</v>
      </c>
      <c r="C195" s="5" t="inlineStr">
        <is>
          <t>CUST016</t>
        </is>
      </c>
      <c r="D195" s="5" t="inlineStr">
        <is>
          <t>Elizabeth Hall</t>
        </is>
      </c>
      <c r="E195" s="5" t="inlineStr">
        <is>
          <t>P007</t>
        </is>
      </c>
      <c r="F195" s="5" t="inlineStr">
        <is>
          <t>Desk</t>
        </is>
      </c>
      <c r="G195" s="5" t="inlineStr">
        <is>
          <t>Furniture</t>
        </is>
      </c>
      <c r="H195" s="5" t="n">
        <v>5</v>
      </c>
      <c r="I195" s="42" t="n">
        <v>299.99</v>
      </c>
      <c r="J195" s="5" t="inlineStr">
        <is>
          <t>Debit Card</t>
        </is>
      </c>
      <c r="K195" s="5" t="inlineStr">
        <is>
          <t>Central</t>
        </is>
      </c>
      <c r="L195" s="5" t="inlineStr">
        <is>
          <t>Basic</t>
        </is>
      </c>
      <c r="M195" s="29" t="n">
        <v>44431</v>
      </c>
      <c r="N195" s="42" t="n">
        <v>1499.95</v>
      </c>
      <c r="O195" s="0">
        <f>TEXT(B195,"yyyy-mm")</f>
        <v/>
      </c>
      <c r="P195" s="43">
        <f>DATEDIF(M195,TODAY(),"Y")</f>
        <v/>
      </c>
      <c r="Q195" s="0">
        <f>UPPER(LEFT(D195,1)&amp;MID(D195,FIND(" ",D195)+1,1))</f>
        <v/>
      </c>
      <c r="R195" s="44">
        <f>N195*90%</f>
        <v/>
      </c>
      <c r="S195" s="18">
        <f>NOW()</f>
        <v/>
      </c>
    </row>
    <row r="196" ht="15.75" customHeight="1" s="8">
      <c r="A196" s="5" t="inlineStr">
        <is>
          <t>TRX0072</t>
        </is>
      </c>
      <c r="B196" s="29" t="n">
        <v>45673</v>
      </c>
      <c r="C196" s="5" t="inlineStr">
        <is>
          <t>CUST009</t>
        </is>
      </c>
      <c r="D196" s="5" t="inlineStr">
        <is>
          <t>Robert Thomas</t>
        </is>
      </c>
      <c r="E196" s="5" t="inlineStr">
        <is>
          <t>P008</t>
        </is>
      </c>
      <c r="F196" s="5" t="inlineStr">
        <is>
          <t>Bookshelf</t>
        </is>
      </c>
      <c r="G196" s="5" t="inlineStr">
        <is>
          <t>Furniture</t>
        </is>
      </c>
      <c r="H196" s="5" t="n">
        <v>3</v>
      </c>
      <c r="I196" s="42" t="n">
        <v>149.99</v>
      </c>
      <c r="J196" s="5" t="inlineStr">
        <is>
          <t>Credit Card</t>
        </is>
      </c>
      <c r="K196" s="5" t="inlineStr">
        <is>
          <t>East</t>
        </is>
      </c>
      <c r="L196" s="5" t="inlineStr">
        <is>
          <t>Standard</t>
        </is>
      </c>
      <c r="M196" s="29" t="n">
        <v>44395</v>
      </c>
      <c r="N196" s="42" t="n">
        <v>449.97</v>
      </c>
      <c r="O196" s="0">
        <f>TEXT(B196,"yyyy-mm")</f>
        <v/>
      </c>
      <c r="P196" s="43">
        <f>DATEDIF(M196,TODAY(),"Y")</f>
        <v/>
      </c>
      <c r="Q196" s="0">
        <f>UPPER(LEFT(D196,1)&amp;MID(D196,FIND(" ",D196)+1,1))</f>
        <v/>
      </c>
      <c r="R196" s="44">
        <f>N196*90%</f>
        <v/>
      </c>
      <c r="S196" s="18">
        <f>NOW()</f>
        <v/>
      </c>
    </row>
    <row r="197" ht="15.75" customHeight="1" s="8">
      <c r="A197" s="5" t="inlineStr">
        <is>
          <t>TRX0110</t>
        </is>
      </c>
      <c r="B197" s="29" t="n">
        <v>45676</v>
      </c>
      <c r="C197" s="5" t="inlineStr">
        <is>
          <t>CUST006</t>
        </is>
      </c>
      <c r="D197" s="5" t="inlineStr">
        <is>
          <t>Lisa Anderson</t>
        </is>
      </c>
      <c r="E197" s="5" t="inlineStr">
        <is>
          <t>P005</t>
        </is>
      </c>
      <c r="F197" s="5" t="inlineStr">
        <is>
          <t>Blender</t>
        </is>
      </c>
      <c r="G197" s="5" t="inlineStr">
        <is>
          <t>Appliances</t>
        </is>
      </c>
      <c r="H197" s="5" t="n">
        <v>5</v>
      </c>
      <c r="I197" s="42" t="n">
        <v>59.99</v>
      </c>
      <c r="J197" s="5" t="inlineStr">
        <is>
          <t>Debit Card</t>
        </is>
      </c>
      <c r="K197" s="5" t="inlineStr">
        <is>
          <t>East</t>
        </is>
      </c>
      <c r="L197" s="5" t="inlineStr">
        <is>
          <t>Basic</t>
        </is>
      </c>
      <c r="M197" s="29" t="n">
        <v>44642</v>
      </c>
      <c r="N197" s="42" t="n">
        <v>299.95</v>
      </c>
      <c r="O197" s="0">
        <f>TEXT(B197,"yyyy-mm")</f>
        <v/>
      </c>
      <c r="P197" s="43">
        <f>DATEDIF(M197,TODAY(),"Y")</f>
        <v/>
      </c>
      <c r="Q197" s="0">
        <f>UPPER(LEFT(D197,1)&amp;MID(D197,FIND(" ",D197)+1,1))</f>
        <v/>
      </c>
      <c r="R197" s="44">
        <f>N197*90%</f>
        <v/>
      </c>
      <c r="S197" s="18">
        <f>NOW()</f>
        <v/>
      </c>
    </row>
    <row r="198" ht="15.75" customHeight="1" s="8">
      <c r="A198" s="5" t="inlineStr">
        <is>
          <t>TRX0126</t>
        </is>
      </c>
      <c r="B198" s="29" t="n">
        <v>45682</v>
      </c>
      <c r="C198" s="5" t="inlineStr">
        <is>
          <t>CUST022</t>
        </is>
      </c>
      <c r="D198" s="5" t="inlineStr">
        <is>
          <t>Susan Green</t>
        </is>
      </c>
      <c r="E198" s="5" t="inlineStr">
        <is>
          <t>P005</t>
        </is>
      </c>
      <c r="F198" s="5" t="inlineStr">
        <is>
          <t>Blender</t>
        </is>
      </c>
      <c r="G198" s="5" t="inlineStr">
        <is>
          <t>Appliances</t>
        </is>
      </c>
      <c r="H198" s="5" t="n">
        <v>4</v>
      </c>
      <c r="I198" s="42" t="n">
        <v>59.99</v>
      </c>
      <c r="J198" s="5" t="inlineStr">
        <is>
          <t>Debit Card</t>
        </is>
      </c>
      <c r="K198" s="5" t="inlineStr">
        <is>
          <t>East</t>
        </is>
      </c>
      <c r="L198" s="5" t="inlineStr">
        <is>
          <t>Standard</t>
        </is>
      </c>
      <c r="M198" s="29" t="n">
        <v>44564</v>
      </c>
      <c r="N198" s="42" t="n">
        <v>239.96</v>
      </c>
      <c r="O198" s="0">
        <f>TEXT(B198,"yyyy-mm")</f>
        <v/>
      </c>
      <c r="P198" s="43">
        <f>DATEDIF(M198,TODAY(),"Y")</f>
        <v/>
      </c>
      <c r="Q198" s="0">
        <f>UPPER(LEFT(D198,1)&amp;MID(D198,FIND(" ",D198)+1,1))</f>
        <v/>
      </c>
      <c r="R198" s="44">
        <f>N198*90%</f>
        <v/>
      </c>
      <c r="S198" s="18">
        <f>NOW()</f>
        <v/>
      </c>
    </row>
    <row r="199" ht="15.75" customHeight="1" s="8">
      <c r="A199" s="5" t="inlineStr">
        <is>
          <t>TRX0159</t>
        </is>
      </c>
      <c r="B199" s="29" t="n">
        <v>45683</v>
      </c>
      <c r="C199" s="5" t="inlineStr">
        <is>
          <t>CUST024</t>
        </is>
      </c>
      <c r="D199" s="5" t="inlineStr">
        <is>
          <t>Dorothy Nelson</t>
        </is>
      </c>
      <c r="E199" s="5" t="inlineStr">
        <is>
          <t>P009</t>
        </is>
      </c>
      <c r="F199" s="5" t="inlineStr">
        <is>
          <t>Monitor</t>
        </is>
      </c>
      <c r="G199" s="5" t="inlineStr">
        <is>
          <t>Electronics</t>
        </is>
      </c>
      <c r="H199" s="5" t="n">
        <v>4</v>
      </c>
      <c r="I199" s="42" t="n">
        <v>249.99</v>
      </c>
      <c r="J199" s="5" t="inlineStr">
        <is>
          <t>Debit Card</t>
        </is>
      </c>
      <c r="K199" s="5" t="inlineStr">
        <is>
          <t>Central</t>
        </is>
      </c>
      <c r="L199" s="5" t="inlineStr">
        <is>
          <t>Premium</t>
        </is>
      </c>
      <c r="M199" s="29" t="n">
        <v>45217</v>
      </c>
      <c r="N199" s="42" t="n">
        <v>999.96</v>
      </c>
      <c r="O199" s="0">
        <f>TEXT(B199,"yyyy-mm")</f>
        <v/>
      </c>
      <c r="P199" s="43">
        <f>DATEDIF(M199,TODAY(),"Y")</f>
        <v/>
      </c>
      <c r="Q199" s="0">
        <f>UPPER(LEFT(D199,1)&amp;MID(D199,FIND(" ",D199)+1,1))</f>
        <v/>
      </c>
      <c r="R199" s="44">
        <f>N199*90%</f>
        <v/>
      </c>
      <c r="S199" s="18">
        <f>NOW()</f>
        <v/>
      </c>
    </row>
    <row r="200" ht="15.75" customHeight="1" s="8">
      <c r="A200" s="5" t="inlineStr">
        <is>
          <t>TRX0030</t>
        </is>
      </c>
      <c r="B200" s="29" t="n">
        <v>45686</v>
      </c>
      <c r="C200" s="5" t="inlineStr">
        <is>
          <t>CUST011</t>
        </is>
      </c>
      <c r="D200" s="5" t="inlineStr">
        <is>
          <t>William White</t>
        </is>
      </c>
      <c r="E200" s="5" t="inlineStr">
        <is>
          <t>P001</t>
        </is>
      </c>
      <c r="F200" s="5" t="inlineStr">
        <is>
          <t>Laptop</t>
        </is>
      </c>
      <c r="G200" s="5" t="inlineStr">
        <is>
          <t>Electronics</t>
        </is>
      </c>
      <c r="H200" s="5" t="n">
        <v>4</v>
      </c>
      <c r="I200" s="42" t="n">
        <v>899.99</v>
      </c>
      <c r="J200" s="5" t="inlineStr">
        <is>
          <t>PayPal</t>
        </is>
      </c>
      <c r="K200" s="5" t="inlineStr">
        <is>
          <t>Central</t>
        </is>
      </c>
      <c r="L200" s="5" t="inlineStr">
        <is>
          <t>Basic</t>
        </is>
      </c>
      <c r="M200" s="29" t="n">
        <v>44734</v>
      </c>
      <c r="N200" s="42" t="n">
        <v>3599.96</v>
      </c>
      <c r="O200" s="0">
        <f>TEXT(B200,"yyyy-mm")</f>
        <v/>
      </c>
      <c r="P200" s="43">
        <f>DATEDIF(M200,TODAY(),"Y")</f>
        <v/>
      </c>
      <c r="Q200" s="0">
        <f>UPPER(LEFT(D200,1)&amp;MID(D200,FIND(" ",D200)+1,1))</f>
        <v/>
      </c>
      <c r="R200" s="44">
        <f>N200*90%</f>
        <v/>
      </c>
      <c r="S200" s="18">
        <f>NOW()</f>
        <v/>
      </c>
    </row>
    <row r="201" ht="15.75" customHeight="1" s="8">
      <c r="A201" s="5" t="inlineStr">
        <is>
          <t>TRX0178</t>
        </is>
      </c>
      <c r="B201" s="29" t="n">
        <v>45686</v>
      </c>
      <c r="C201" s="5" t="inlineStr">
        <is>
          <t>CUST025</t>
        </is>
      </c>
      <c r="D201" s="5" t="inlineStr">
        <is>
          <t>Mark Carter</t>
        </is>
      </c>
      <c r="E201" s="5" t="inlineStr">
        <is>
          <t>P007</t>
        </is>
      </c>
      <c r="F201" s="5" t="inlineStr">
        <is>
          <t>Desk</t>
        </is>
      </c>
      <c r="G201" s="5" t="inlineStr">
        <is>
          <t>Furniture</t>
        </is>
      </c>
      <c r="H201" s="5" t="n">
        <v>3</v>
      </c>
      <c r="I201" s="42" t="n">
        <v>299.99</v>
      </c>
      <c r="J201" s="5" t="inlineStr">
        <is>
          <t>Debit Card</t>
        </is>
      </c>
      <c r="K201" s="5" t="inlineStr">
        <is>
          <t>West</t>
        </is>
      </c>
      <c r="L201" s="5" t="inlineStr">
        <is>
          <t>Standard</t>
        </is>
      </c>
      <c r="M201" s="29" t="n">
        <v>44952</v>
      </c>
      <c r="N201" s="42" t="n">
        <v>899.97</v>
      </c>
      <c r="O201" s="0">
        <f>TEXT(B201,"yyyy-mm")</f>
        <v/>
      </c>
      <c r="P201" s="43">
        <f>DATEDIF(M201,TODAY(),"Y")</f>
        <v/>
      </c>
      <c r="Q201" s="0">
        <f>UPPER(LEFT(D201,1)&amp;MID(D201,FIND(" ",D201)+1,1))</f>
        <v/>
      </c>
      <c r="R201" s="44">
        <f>N201*90%</f>
        <v/>
      </c>
      <c r="S201" s="18">
        <f>NOW()</f>
        <v/>
      </c>
    </row>
    <row r="202" ht="15.75" customHeight="1" s="8">
      <c r="A202" s="5" t="inlineStr">
        <is>
          <t>TRX0188</t>
        </is>
      </c>
      <c r="B202" s="29" t="n">
        <v>45686</v>
      </c>
      <c r="C202" s="5" t="inlineStr">
        <is>
          <t>CUST045</t>
        </is>
      </c>
      <c r="D202" s="5" t="inlineStr">
        <is>
          <t>Douglas Watson</t>
        </is>
      </c>
      <c r="E202" s="5" t="inlineStr">
        <is>
          <t>P002</t>
        </is>
      </c>
      <c r="F202" s="5" t="inlineStr">
        <is>
          <t>Smartphone</t>
        </is>
      </c>
      <c r="G202" s="5" t="inlineStr">
        <is>
          <t>Electronics</t>
        </is>
      </c>
      <c r="H202" s="5" t="n">
        <v>2</v>
      </c>
      <c r="I202" s="42" t="n">
        <v>699.99</v>
      </c>
      <c r="J202" s="5" t="inlineStr">
        <is>
          <t>Debit Card</t>
        </is>
      </c>
      <c r="K202" s="5" t="inlineStr">
        <is>
          <t>Central</t>
        </is>
      </c>
      <c r="L202" s="5" t="inlineStr">
        <is>
          <t>Premium</t>
        </is>
      </c>
      <c r="M202" s="29" t="n">
        <v>44681</v>
      </c>
      <c r="N202" s="42" t="n">
        <v>1399.98</v>
      </c>
      <c r="O202" s="0">
        <f>TEXT(B202,"yyyy-mm")</f>
        <v/>
      </c>
      <c r="P202" s="43">
        <f>DATEDIF(M202,TODAY(),"Y")</f>
        <v/>
      </c>
      <c r="Q202" s="0">
        <f>UPPER(LEFT(D202,1)&amp;MID(D202,FIND(" ",D202)+1,1))</f>
        <v/>
      </c>
      <c r="R202" s="44">
        <f>N202*90%</f>
        <v/>
      </c>
      <c r="S202" s="18">
        <f>NOW()</f>
        <v/>
      </c>
    </row>
    <row r="203" ht="15.75" customHeight="1" s="8">
      <c r="A203" s="5" t="inlineStr">
        <is>
          <t>TRX0010</t>
        </is>
      </c>
      <c r="B203" s="29" t="n">
        <v>45688</v>
      </c>
      <c r="C203" s="5" t="inlineStr">
        <is>
          <t>CUST026</t>
        </is>
      </c>
      <c r="D203" s="5" t="inlineStr">
        <is>
          <t>Karen Hill</t>
        </is>
      </c>
      <c r="E203" s="5" t="inlineStr">
        <is>
          <t>P002</t>
        </is>
      </c>
      <c r="F203" s="5" t="inlineStr">
        <is>
          <t>Smartphone</t>
        </is>
      </c>
      <c r="G203" s="5" t="inlineStr">
        <is>
          <t>Electronics</t>
        </is>
      </c>
      <c r="H203" s="5" t="n">
        <v>4</v>
      </c>
      <c r="I203" s="42" t="n">
        <v>699.99</v>
      </c>
      <c r="J203" s="5" t="inlineStr">
        <is>
          <t>Debit Card</t>
        </is>
      </c>
      <c r="K203" s="5" t="inlineStr">
        <is>
          <t>West</t>
        </is>
      </c>
      <c r="L203" s="5" t="inlineStr">
        <is>
          <t>Premium</t>
        </is>
      </c>
      <c r="M203" s="29" t="n">
        <v>44692</v>
      </c>
      <c r="N203" s="42" t="n">
        <v>2799.96</v>
      </c>
      <c r="O203" s="0">
        <f>TEXT(B203,"yyyy-mm")</f>
        <v/>
      </c>
      <c r="P203" s="43">
        <f>DATEDIF(M203,TODAY(),"Y")</f>
        <v/>
      </c>
      <c r="Q203" s="0">
        <f>UPPER(LEFT(D203,1)&amp;MID(D203,FIND(" ",D203)+1,1))</f>
        <v/>
      </c>
      <c r="R203" s="44">
        <f>N203*90%</f>
        <v/>
      </c>
      <c r="S203" s="18">
        <f>NOW()</f>
        <v/>
      </c>
    </row>
    <row r="204" ht="15.75" customHeight="1" s="8">
      <c r="A204" s="5" t="inlineStr">
        <is>
          <t>TRX0069</t>
        </is>
      </c>
      <c r="B204" s="29" t="n">
        <v>45688</v>
      </c>
      <c r="C204" s="5" t="inlineStr">
        <is>
          <t>CUST029</t>
        </is>
      </c>
      <c r="D204" s="5" t="inlineStr">
        <is>
          <t>Edward Mitchell</t>
        </is>
      </c>
      <c r="E204" s="5" t="inlineStr">
        <is>
          <t>P010</t>
        </is>
      </c>
      <c r="F204" s="5" t="inlineStr">
        <is>
          <t>Keyboard</t>
        </is>
      </c>
      <c r="G204" s="5" t="inlineStr">
        <is>
          <t>Electronics</t>
        </is>
      </c>
      <c r="H204" s="5" t="n">
        <v>2</v>
      </c>
      <c r="I204" s="42" t="n">
        <v>89.98999999999999</v>
      </c>
      <c r="J204" s="5" t="inlineStr">
        <is>
          <t>Debit Card</t>
        </is>
      </c>
      <c r="K204" s="5" t="inlineStr">
        <is>
          <t>South</t>
        </is>
      </c>
      <c r="L204" s="5" t="inlineStr">
        <is>
          <t>Basic</t>
        </is>
      </c>
      <c r="M204" s="29" t="n">
        <v>44777</v>
      </c>
      <c r="N204" s="42" t="n">
        <v>179.98</v>
      </c>
      <c r="O204" s="0">
        <f>TEXT(B204,"yyyy-mm")</f>
        <v/>
      </c>
      <c r="P204" s="43">
        <f>DATEDIF(M204,TODAY(),"Y")</f>
        <v/>
      </c>
      <c r="Q204" s="0">
        <f>UPPER(LEFT(D204,1)&amp;MID(D204,FIND(" ",D204)+1,1))</f>
        <v/>
      </c>
      <c r="R204" s="44">
        <f>N204*90%</f>
        <v/>
      </c>
      <c r="S204" s="18">
        <f>NOW()</f>
        <v/>
      </c>
    </row>
    <row r="205" ht="15.75" customHeight="1" s="8">
      <c r="A205" s="5" t="inlineStr">
        <is>
          <t>TRX0166</t>
        </is>
      </c>
      <c r="B205" s="29" t="n">
        <v>45688</v>
      </c>
      <c r="C205" s="5" t="inlineStr">
        <is>
          <t>CUST003</t>
        </is>
      </c>
      <c r="D205" s="5" t="inlineStr">
        <is>
          <t>Michael Brown</t>
        </is>
      </c>
      <c r="E205" s="5" t="inlineStr">
        <is>
          <t>P010</t>
        </is>
      </c>
      <c r="F205" s="5" t="inlineStr">
        <is>
          <t>Keyboard</t>
        </is>
      </c>
      <c r="G205" s="5" t="inlineStr">
        <is>
          <t>Electronics</t>
        </is>
      </c>
      <c r="H205" s="5" t="n">
        <v>3</v>
      </c>
      <c r="I205" s="42" t="n">
        <v>89.98999999999999</v>
      </c>
      <c r="J205" s="5" t="inlineStr">
        <is>
          <t>Debit Card</t>
        </is>
      </c>
      <c r="K205" s="5" t="inlineStr">
        <is>
          <t>South</t>
        </is>
      </c>
      <c r="L205" s="5" t="inlineStr">
        <is>
          <t>Premium</t>
        </is>
      </c>
      <c r="M205" s="29" t="n">
        <v>45307</v>
      </c>
      <c r="N205" s="42" t="n">
        <v>269.97</v>
      </c>
      <c r="O205" s="0">
        <f>TEXT(B205,"yyyy-mm")</f>
        <v/>
      </c>
      <c r="P205" s="43">
        <f>DATEDIF(M205,TODAY(),"Y")</f>
        <v/>
      </c>
      <c r="Q205" s="0">
        <f>UPPER(LEFT(D205,1)&amp;MID(D205,FIND(" ",D205)+1,1))</f>
        <v/>
      </c>
      <c r="R205" s="44">
        <f>N205*90%</f>
        <v/>
      </c>
      <c r="S205" s="18">
        <f>NOW()</f>
        <v/>
      </c>
    </row>
    <row r="206" ht="15.75" customHeight="1" s="8">
      <c r="A206" s="5" t="inlineStr">
        <is>
          <t>TRX0219</t>
        </is>
      </c>
      <c r="B206" s="29" t="n">
        <v>45692</v>
      </c>
      <c r="C206" s="5" t="inlineStr">
        <is>
          <t>CUST037</t>
        </is>
      </c>
      <c r="D206" s="5" t="inlineStr">
        <is>
          <t>Arthur Edwards</t>
        </is>
      </c>
      <c r="E206" s="5" t="inlineStr">
        <is>
          <t>P005</t>
        </is>
      </c>
      <c r="F206" s="5" t="inlineStr">
        <is>
          <t>Blender</t>
        </is>
      </c>
      <c r="G206" s="5" t="inlineStr">
        <is>
          <t>Appliances</t>
        </is>
      </c>
      <c r="H206" s="5" t="n">
        <v>1</v>
      </c>
      <c r="I206" s="42" t="n">
        <v>59.99</v>
      </c>
      <c r="J206" s="5" t="inlineStr">
        <is>
          <t>Debit Card</t>
        </is>
      </c>
      <c r="K206" s="5" t="inlineStr">
        <is>
          <t>Central</t>
        </is>
      </c>
      <c r="L206" s="5" t="inlineStr">
        <is>
          <t>Standard</t>
        </is>
      </c>
      <c r="M206" s="29" t="n">
        <v>45045</v>
      </c>
      <c r="N206" s="42" t="n">
        <v>59.99</v>
      </c>
      <c r="O206" s="0">
        <f>TEXT(B206,"yyyy-mm")</f>
        <v/>
      </c>
      <c r="P206" s="43">
        <f>DATEDIF(M206,TODAY(),"Y")</f>
        <v/>
      </c>
      <c r="Q206" s="0">
        <f>UPPER(LEFT(D206,1)&amp;MID(D206,FIND(" ",D206)+1,1))</f>
        <v/>
      </c>
      <c r="R206" s="44">
        <f>N206*90%</f>
        <v/>
      </c>
      <c r="S206" s="18">
        <f>NOW()</f>
        <v/>
      </c>
    </row>
    <row r="207" ht="15.75" customHeight="1" s="8">
      <c r="A207" s="5" t="inlineStr">
        <is>
          <t>TRX0024</t>
        </is>
      </c>
      <c r="B207" s="29" t="n">
        <v>45695</v>
      </c>
      <c r="C207" s="5" t="inlineStr">
        <is>
          <t>CUST042</t>
        </is>
      </c>
      <c r="D207" s="5" t="inlineStr">
        <is>
          <t>Ruth Brooks</t>
        </is>
      </c>
      <c r="E207" s="5" t="inlineStr">
        <is>
          <t>P008</t>
        </is>
      </c>
      <c r="F207" s="5" t="inlineStr">
        <is>
          <t>Bookshelf</t>
        </is>
      </c>
      <c r="G207" s="5" t="inlineStr">
        <is>
          <t>Furniture</t>
        </is>
      </c>
      <c r="H207" s="5" t="n">
        <v>3</v>
      </c>
      <c r="I207" s="42" t="n">
        <v>149.99</v>
      </c>
      <c r="J207" s="5" t="inlineStr">
        <is>
          <t>Debit Card</t>
        </is>
      </c>
      <c r="K207" s="5" t="inlineStr">
        <is>
          <t>North</t>
        </is>
      </c>
      <c r="L207" s="5" t="inlineStr">
        <is>
          <t>Premium</t>
        </is>
      </c>
      <c r="M207" s="29" t="n">
        <v>44564</v>
      </c>
      <c r="N207" s="42" t="n">
        <v>449.97</v>
      </c>
      <c r="O207" s="0">
        <f>TEXT(B207,"yyyy-mm")</f>
        <v/>
      </c>
      <c r="P207" s="43">
        <f>DATEDIF(M207,TODAY(),"Y")</f>
        <v/>
      </c>
      <c r="Q207" s="0">
        <f>UPPER(LEFT(D207,1)&amp;MID(D207,FIND(" ",D207)+1,1))</f>
        <v/>
      </c>
      <c r="R207" s="44">
        <f>N207*90%</f>
        <v/>
      </c>
      <c r="S207" s="18">
        <f>NOW()</f>
        <v/>
      </c>
    </row>
    <row r="208" ht="15.75" customHeight="1" s="8">
      <c r="A208" s="5" t="inlineStr">
        <is>
          <t>TRX0105</t>
        </is>
      </c>
      <c r="B208" s="29" t="n">
        <v>45695</v>
      </c>
      <c r="C208" s="5" t="inlineStr">
        <is>
          <t>CUST048</t>
        </is>
      </c>
      <c r="D208" s="5" t="inlineStr">
        <is>
          <t>Virginia Sanders</t>
        </is>
      </c>
      <c r="E208" s="5" t="inlineStr">
        <is>
          <t>P007</t>
        </is>
      </c>
      <c r="F208" s="5" t="inlineStr">
        <is>
          <t>Desk</t>
        </is>
      </c>
      <c r="G208" s="5" t="inlineStr">
        <is>
          <t>Furniture</t>
        </is>
      </c>
      <c r="H208" s="5" t="n">
        <v>5</v>
      </c>
      <c r="I208" s="42" t="n">
        <v>299.99</v>
      </c>
      <c r="J208" s="5" t="inlineStr">
        <is>
          <t>Credit Card</t>
        </is>
      </c>
      <c r="K208" s="5" t="inlineStr">
        <is>
          <t>South</t>
        </is>
      </c>
      <c r="L208" s="5" t="inlineStr">
        <is>
          <t>Basic</t>
        </is>
      </c>
      <c r="M208" s="29" t="n">
        <v>44959</v>
      </c>
      <c r="N208" s="42" t="n">
        <v>1499.95</v>
      </c>
      <c r="O208" s="0">
        <f>TEXT(B208,"yyyy-mm")</f>
        <v/>
      </c>
      <c r="P208" s="43">
        <f>DATEDIF(M208,TODAY(),"Y")</f>
        <v/>
      </c>
      <c r="Q208" s="0">
        <f>UPPER(LEFT(D208,1)&amp;MID(D208,FIND(" ",D208)+1,1))</f>
        <v/>
      </c>
      <c r="R208" s="44">
        <f>N208*90%</f>
        <v/>
      </c>
      <c r="S208" s="18">
        <f>NOW()</f>
        <v/>
      </c>
    </row>
    <row r="209" ht="15.75" customHeight="1" s="8">
      <c r="A209" s="5" t="inlineStr">
        <is>
          <t>TRX0011</t>
        </is>
      </c>
      <c r="B209" s="29" t="n">
        <v>45696</v>
      </c>
      <c r="C209" s="5" t="inlineStr">
        <is>
          <t>CUST040</t>
        </is>
      </c>
      <c r="D209" s="5" t="inlineStr">
        <is>
          <t>Sharon Butler</t>
        </is>
      </c>
      <c r="E209" s="5" t="inlineStr">
        <is>
          <t>P005</t>
        </is>
      </c>
      <c r="F209" s="5" t="inlineStr">
        <is>
          <t>Blender</t>
        </is>
      </c>
      <c r="G209" s="5" t="inlineStr">
        <is>
          <t>Appliances</t>
        </is>
      </c>
      <c r="H209" s="5" t="n">
        <v>5</v>
      </c>
      <c r="I209" s="42" t="n">
        <v>59.99</v>
      </c>
      <c r="J209" s="5" t="inlineStr">
        <is>
          <t>Debit Card</t>
        </is>
      </c>
      <c r="K209" s="5" t="inlineStr">
        <is>
          <t>Central</t>
        </is>
      </c>
      <c r="L209" s="5" t="inlineStr">
        <is>
          <t>Standard</t>
        </is>
      </c>
      <c r="M209" s="29" t="n">
        <v>45177</v>
      </c>
      <c r="N209" s="42" t="n">
        <v>299.95</v>
      </c>
      <c r="O209" s="0">
        <f>TEXT(B209,"yyyy-mm")</f>
        <v/>
      </c>
      <c r="P209" s="43">
        <f>DATEDIF(M209,TODAY(),"Y")</f>
        <v/>
      </c>
      <c r="Q209" s="0">
        <f>UPPER(LEFT(D209,1)&amp;MID(D209,FIND(" ",D209)+1,1))</f>
        <v/>
      </c>
      <c r="R209" s="44">
        <f>N209*90%</f>
        <v/>
      </c>
      <c r="S209" s="18">
        <f>NOW()</f>
        <v/>
      </c>
    </row>
    <row r="210" ht="15.75" customHeight="1" s="8">
      <c r="A210" s="5" t="inlineStr">
        <is>
          <t>TRX0187</t>
        </is>
      </c>
      <c r="B210" s="29" t="n">
        <v>45701</v>
      </c>
      <c r="C210" s="5" t="inlineStr">
        <is>
          <t>CUST036</t>
        </is>
      </c>
      <c r="D210" s="5" t="inlineStr">
        <is>
          <t>Nancy Collins</t>
        </is>
      </c>
      <c r="E210" s="5" t="inlineStr">
        <is>
          <t>P004</t>
        </is>
      </c>
      <c r="F210" s="5" t="inlineStr">
        <is>
          <t>Coffee Maker</t>
        </is>
      </c>
      <c r="G210" s="5" t="inlineStr">
        <is>
          <t>Appliances</t>
        </is>
      </c>
      <c r="H210" s="5" t="n">
        <v>3</v>
      </c>
      <c r="I210" s="42" t="n">
        <v>79.98999999999999</v>
      </c>
      <c r="J210" s="5" t="inlineStr">
        <is>
          <t>Cash</t>
        </is>
      </c>
      <c r="K210" s="5" t="inlineStr">
        <is>
          <t>East</t>
        </is>
      </c>
      <c r="L210" s="5" t="inlineStr">
        <is>
          <t>Premium</t>
        </is>
      </c>
      <c r="M210" s="29" t="n">
        <v>44436</v>
      </c>
      <c r="N210" s="42" t="n">
        <v>239.97</v>
      </c>
      <c r="O210" s="0">
        <f>TEXT(B210,"yyyy-mm")</f>
        <v/>
      </c>
      <c r="P210" s="43">
        <f>DATEDIF(M210,TODAY(),"Y")</f>
        <v/>
      </c>
      <c r="Q210" s="0">
        <f>UPPER(LEFT(D210,1)&amp;MID(D210,FIND(" ",D210)+1,1))</f>
        <v/>
      </c>
      <c r="R210" s="44">
        <f>N210*90%</f>
        <v/>
      </c>
      <c r="S210" s="18">
        <f>NOW()</f>
        <v/>
      </c>
    </row>
    <row r="211" ht="15.75" customHeight="1" s="8">
      <c r="A211" s="5" t="inlineStr">
        <is>
          <t>TRX0089</t>
        </is>
      </c>
      <c r="B211" s="29" t="n">
        <v>45704</v>
      </c>
      <c r="C211" s="5" t="inlineStr">
        <is>
          <t>CUST021</t>
        </is>
      </c>
      <c r="D211" s="5" t="inlineStr">
        <is>
          <t>Kevin Scott</t>
        </is>
      </c>
      <c r="E211" s="5" t="inlineStr">
        <is>
          <t>P006</t>
        </is>
      </c>
      <c r="F211" s="5" t="inlineStr">
        <is>
          <t>Office Chair</t>
        </is>
      </c>
      <c r="G211" s="5" t="inlineStr">
        <is>
          <t>Furniture</t>
        </is>
      </c>
      <c r="H211" s="5" t="n">
        <v>3</v>
      </c>
      <c r="I211" s="42" t="n">
        <v>199.99</v>
      </c>
      <c r="J211" s="5" t="inlineStr">
        <is>
          <t>Cash</t>
        </is>
      </c>
      <c r="K211" s="5" t="inlineStr">
        <is>
          <t>Central</t>
        </is>
      </c>
      <c r="L211" s="5" t="inlineStr">
        <is>
          <t>Basic</t>
        </is>
      </c>
      <c r="M211" s="29" t="n">
        <v>44735</v>
      </c>
      <c r="N211" s="42" t="n">
        <v>599.97</v>
      </c>
      <c r="O211" s="0">
        <f>TEXT(B211,"yyyy-mm")</f>
        <v/>
      </c>
      <c r="P211" s="43">
        <f>DATEDIF(M211,TODAY(),"Y")</f>
        <v/>
      </c>
      <c r="Q211" s="0">
        <f>UPPER(LEFT(D211,1)&amp;MID(D211,FIND(" ",D211)+1,1))</f>
        <v/>
      </c>
      <c r="R211" s="44">
        <f>N211*90%</f>
        <v/>
      </c>
      <c r="S211" s="18">
        <f>NOW()</f>
        <v/>
      </c>
    </row>
    <row r="212" ht="15.75" customHeight="1" s="8">
      <c r="A212" s="5" t="inlineStr">
        <is>
          <t>TRX0196</t>
        </is>
      </c>
      <c r="B212" s="29" t="n">
        <v>45704</v>
      </c>
      <c r="C212" s="5" t="inlineStr">
        <is>
          <t>CUST023</t>
        </is>
      </c>
      <c r="D212" s="5" t="inlineStr">
        <is>
          <t>Paul Baker</t>
        </is>
      </c>
      <c r="E212" s="5" t="inlineStr">
        <is>
          <t>P010</t>
        </is>
      </c>
      <c r="F212" s="5" t="inlineStr">
        <is>
          <t>Keyboard</t>
        </is>
      </c>
      <c r="G212" s="5" t="inlineStr">
        <is>
          <t>Electronics</t>
        </is>
      </c>
      <c r="H212" s="5" t="n">
        <v>2</v>
      </c>
      <c r="I212" s="42" t="n">
        <v>89.98999999999999</v>
      </c>
      <c r="J212" s="5" t="inlineStr">
        <is>
          <t>PayPal</t>
        </is>
      </c>
      <c r="K212" s="5" t="inlineStr">
        <is>
          <t>Central</t>
        </is>
      </c>
      <c r="L212" s="5" t="inlineStr">
        <is>
          <t>Basic</t>
        </is>
      </c>
      <c r="M212" s="29" t="n">
        <v>45257</v>
      </c>
      <c r="N212" s="42" t="n">
        <v>179.98</v>
      </c>
      <c r="O212" s="0">
        <f>TEXT(B212,"yyyy-mm")</f>
        <v/>
      </c>
      <c r="P212" s="43">
        <f>DATEDIF(M212,TODAY(),"Y")</f>
        <v/>
      </c>
      <c r="Q212" s="0">
        <f>UPPER(LEFT(D212,1)&amp;MID(D212,FIND(" ",D212)+1,1))</f>
        <v/>
      </c>
      <c r="R212" s="44">
        <f>N212*90%</f>
        <v/>
      </c>
      <c r="S212" s="18">
        <f>NOW()</f>
        <v/>
      </c>
    </row>
    <row r="213" ht="15.75" customHeight="1" s="8">
      <c r="A213" s="5" t="inlineStr">
        <is>
          <t>TRX0118</t>
        </is>
      </c>
      <c r="B213" s="29" t="n">
        <v>45705</v>
      </c>
      <c r="C213" s="5" t="inlineStr">
        <is>
          <t>CUST015</t>
        </is>
      </c>
      <c r="D213" s="5" t="inlineStr">
        <is>
          <t>Richard Lee</t>
        </is>
      </c>
      <c r="E213" s="5" t="inlineStr">
        <is>
          <t>P008</t>
        </is>
      </c>
      <c r="F213" s="5" t="inlineStr">
        <is>
          <t>Bookshelf</t>
        </is>
      </c>
      <c r="G213" s="5" t="inlineStr">
        <is>
          <t>Furniture</t>
        </is>
      </c>
      <c r="H213" s="5" t="n">
        <v>2</v>
      </c>
      <c r="I213" s="42" t="n">
        <v>149.99</v>
      </c>
      <c r="J213" s="5" t="inlineStr">
        <is>
          <t>Cash</t>
        </is>
      </c>
      <c r="K213" s="5" t="inlineStr">
        <is>
          <t>South</t>
        </is>
      </c>
      <c r="L213" s="5" t="inlineStr">
        <is>
          <t>Premium</t>
        </is>
      </c>
      <c r="M213" s="29" t="n">
        <v>44728</v>
      </c>
      <c r="N213" s="42" t="n">
        <v>299.98</v>
      </c>
      <c r="O213" s="0">
        <f>TEXT(B213,"yyyy-mm")</f>
        <v/>
      </c>
      <c r="P213" s="43">
        <f>DATEDIF(M213,TODAY(),"Y")</f>
        <v/>
      </c>
      <c r="Q213" s="0">
        <f>UPPER(LEFT(D213,1)&amp;MID(D213,FIND(" ",D213)+1,1))</f>
        <v/>
      </c>
      <c r="R213" s="44">
        <f>N213*90%</f>
        <v/>
      </c>
      <c r="S213" s="18">
        <f>NOW()</f>
        <v/>
      </c>
    </row>
    <row r="214" ht="15.75" customHeight="1" s="8">
      <c r="A214" s="5" t="inlineStr">
        <is>
          <t>TRX0179</t>
        </is>
      </c>
      <c r="B214" s="29" t="n">
        <v>45707</v>
      </c>
      <c r="C214" s="5" t="inlineStr">
        <is>
          <t>CUST029</t>
        </is>
      </c>
      <c r="D214" s="5" t="inlineStr">
        <is>
          <t>Edward Mitchell</t>
        </is>
      </c>
      <c r="E214" s="5" t="inlineStr">
        <is>
          <t>P002</t>
        </is>
      </c>
      <c r="F214" s="5" t="inlineStr">
        <is>
          <t>Smartphone</t>
        </is>
      </c>
      <c r="G214" s="5" t="inlineStr">
        <is>
          <t>Electronics</t>
        </is>
      </c>
      <c r="H214" s="5" t="n">
        <v>5</v>
      </c>
      <c r="I214" s="42" t="n">
        <v>699.99</v>
      </c>
      <c r="J214" s="5" t="inlineStr">
        <is>
          <t>PayPal</t>
        </is>
      </c>
      <c r="K214" s="5" t="inlineStr">
        <is>
          <t>South</t>
        </is>
      </c>
      <c r="L214" s="5" t="inlineStr">
        <is>
          <t>Premium</t>
        </is>
      </c>
      <c r="M214" s="29" t="n">
        <v>45352</v>
      </c>
      <c r="N214" s="42" t="n">
        <v>3499.95</v>
      </c>
      <c r="O214" s="0">
        <f>TEXT(B214,"yyyy-mm")</f>
        <v/>
      </c>
      <c r="P214" s="43">
        <f>DATEDIF(M214,TODAY(),"Y")</f>
        <v/>
      </c>
      <c r="Q214" s="0">
        <f>UPPER(LEFT(D214,1)&amp;MID(D214,FIND(" ",D214)+1,1))</f>
        <v/>
      </c>
      <c r="R214" s="44">
        <f>N214*90%</f>
        <v/>
      </c>
      <c r="S214" s="18">
        <f>NOW()</f>
        <v/>
      </c>
    </row>
    <row r="215" ht="15.75" customHeight="1" s="8">
      <c r="A215" s="5" t="inlineStr">
        <is>
          <t>TRX0168</t>
        </is>
      </c>
      <c r="B215" s="29" t="n">
        <v>45707</v>
      </c>
      <c r="C215" s="5" t="inlineStr">
        <is>
          <t>CUST003</t>
        </is>
      </c>
      <c r="D215" s="5" t="inlineStr">
        <is>
          <t>Michael Brown</t>
        </is>
      </c>
      <c r="E215" s="5" t="inlineStr">
        <is>
          <t>P008</t>
        </is>
      </c>
      <c r="F215" s="5" t="inlineStr">
        <is>
          <t>Bookshelf</t>
        </is>
      </c>
      <c r="G215" s="5" t="inlineStr">
        <is>
          <t>Furniture</t>
        </is>
      </c>
      <c r="H215" s="5" t="n">
        <v>3</v>
      </c>
      <c r="I215" s="42" t="n">
        <v>149.99</v>
      </c>
      <c r="J215" s="5" t="inlineStr">
        <is>
          <t>PayPal</t>
        </is>
      </c>
      <c r="K215" s="5" t="inlineStr">
        <is>
          <t>Central</t>
        </is>
      </c>
      <c r="L215" s="5" t="inlineStr">
        <is>
          <t>Standard</t>
        </is>
      </c>
      <c r="M215" s="29" t="n">
        <v>44633</v>
      </c>
      <c r="N215" s="42" t="n">
        <v>449.97</v>
      </c>
      <c r="O215" s="0">
        <f>TEXT(B215,"yyyy-mm")</f>
        <v/>
      </c>
      <c r="P215" s="43">
        <f>DATEDIF(M215,TODAY(),"Y")</f>
        <v/>
      </c>
      <c r="Q215" s="0">
        <f>UPPER(LEFT(D215,1)&amp;MID(D215,FIND(" ",D215)+1,1))</f>
        <v/>
      </c>
      <c r="R215" s="44">
        <f>N215*90%</f>
        <v/>
      </c>
      <c r="S215" s="18">
        <f>NOW()</f>
        <v/>
      </c>
    </row>
    <row r="216" ht="15.75" customHeight="1" s="8">
      <c r="A216" s="5" t="inlineStr">
        <is>
          <t>TRX0214</t>
        </is>
      </c>
      <c r="B216" s="29" t="n">
        <v>45708</v>
      </c>
      <c r="C216" s="5" t="inlineStr">
        <is>
          <t>CUST018</t>
        </is>
      </c>
      <c r="D216" s="5" t="inlineStr">
        <is>
          <t>Barbara Young</t>
        </is>
      </c>
      <c r="E216" s="5" t="inlineStr">
        <is>
          <t>P001</t>
        </is>
      </c>
      <c r="F216" s="5" t="inlineStr">
        <is>
          <t>Laptop</t>
        </is>
      </c>
      <c r="G216" s="5" t="inlineStr">
        <is>
          <t>Electronics</t>
        </is>
      </c>
      <c r="H216" s="5" t="n">
        <v>3</v>
      </c>
      <c r="I216" s="42" t="n">
        <v>899.99</v>
      </c>
      <c r="J216" s="5" t="inlineStr">
        <is>
          <t>Cash</t>
        </is>
      </c>
      <c r="K216" s="5" t="inlineStr">
        <is>
          <t>East</t>
        </is>
      </c>
      <c r="L216" s="5" t="inlineStr">
        <is>
          <t>Standard</t>
        </is>
      </c>
      <c r="M216" s="29" t="n">
        <v>44613</v>
      </c>
      <c r="N216" s="42" t="n">
        <v>2699.97</v>
      </c>
      <c r="O216" s="0">
        <f>TEXT(B216,"yyyy-mm")</f>
        <v/>
      </c>
      <c r="P216" s="43">
        <f>DATEDIF(M216,TODAY(),"Y")</f>
        <v/>
      </c>
      <c r="Q216" s="0">
        <f>UPPER(LEFT(D216,1)&amp;MID(D216,FIND(" ",D216)+1,1))</f>
        <v/>
      </c>
      <c r="R216" s="44">
        <f>N216*90%</f>
        <v/>
      </c>
      <c r="S216" s="18">
        <f>NOW()</f>
        <v/>
      </c>
    </row>
    <row r="217" ht="15.75" customHeight="1" s="8">
      <c r="A217" s="5" t="inlineStr">
        <is>
          <t>TRX0221</t>
        </is>
      </c>
      <c r="B217" s="29" t="n">
        <v>45708</v>
      </c>
      <c r="C217" s="5" t="inlineStr">
        <is>
          <t>CUST033</t>
        </is>
      </c>
      <c r="D217" s="5" t="inlineStr">
        <is>
          <t>Frank Torres</t>
        </is>
      </c>
      <c r="E217" s="5" t="inlineStr">
        <is>
          <t>P006</t>
        </is>
      </c>
      <c r="F217" s="5" t="inlineStr">
        <is>
          <t>Office Chair</t>
        </is>
      </c>
      <c r="G217" s="5" t="inlineStr">
        <is>
          <t>Furniture</t>
        </is>
      </c>
      <c r="H217" s="5" t="n">
        <v>3</v>
      </c>
      <c r="I217" s="42" t="n">
        <v>199.99</v>
      </c>
      <c r="J217" s="5" t="inlineStr">
        <is>
          <t>Cash</t>
        </is>
      </c>
      <c r="K217" s="5" t="inlineStr">
        <is>
          <t>West</t>
        </is>
      </c>
      <c r="L217" s="5" t="inlineStr">
        <is>
          <t>Premium</t>
        </is>
      </c>
      <c r="M217" s="29" t="n">
        <v>44823</v>
      </c>
      <c r="N217" s="42" t="n">
        <v>599.97</v>
      </c>
      <c r="O217" s="0">
        <f>TEXT(B217,"yyyy-mm")</f>
        <v/>
      </c>
      <c r="P217" s="43">
        <f>DATEDIF(M217,TODAY(),"Y")</f>
        <v/>
      </c>
      <c r="Q217" s="0">
        <f>UPPER(LEFT(D217,1)&amp;MID(D217,FIND(" ",D217)+1,1))</f>
        <v/>
      </c>
      <c r="R217" s="44">
        <f>N217*90%</f>
        <v/>
      </c>
      <c r="S217" s="18">
        <f>NOW()</f>
        <v/>
      </c>
    </row>
    <row r="218" ht="15.75" customHeight="1" s="8">
      <c r="A218" s="5" t="inlineStr">
        <is>
          <t>TRX0083</t>
        </is>
      </c>
      <c r="B218" s="29" t="n">
        <v>45710</v>
      </c>
      <c r="C218" s="5" t="inlineStr">
        <is>
          <t>CUST017</t>
        </is>
      </c>
      <c r="D218" s="5" t="inlineStr">
        <is>
          <t>Charles Allen</t>
        </is>
      </c>
      <c r="E218" s="5" t="inlineStr">
        <is>
          <t>P007</t>
        </is>
      </c>
      <c r="F218" s="5" t="inlineStr">
        <is>
          <t>Desk</t>
        </is>
      </c>
      <c r="G218" s="5" t="inlineStr">
        <is>
          <t>Furniture</t>
        </is>
      </c>
      <c r="H218" s="5" t="n">
        <v>5</v>
      </c>
      <c r="I218" s="42" t="n">
        <v>299.99</v>
      </c>
      <c r="J218" s="5" t="inlineStr">
        <is>
          <t>Cash</t>
        </is>
      </c>
      <c r="K218" s="5" t="inlineStr">
        <is>
          <t>West</t>
        </is>
      </c>
      <c r="L218" s="5" t="inlineStr">
        <is>
          <t>Standard</t>
        </is>
      </c>
      <c r="M218" s="29" t="n">
        <v>45142</v>
      </c>
      <c r="N218" s="42" t="n">
        <v>1499.95</v>
      </c>
      <c r="O218" s="0">
        <f>TEXT(B218,"yyyy-mm")</f>
        <v/>
      </c>
      <c r="P218" s="43">
        <f>DATEDIF(M218,TODAY(),"Y")</f>
        <v/>
      </c>
      <c r="Q218" s="0">
        <f>UPPER(LEFT(D218,1)&amp;MID(D218,FIND(" ",D218)+1,1))</f>
        <v/>
      </c>
      <c r="R218" s="44">
        <f>N218*90%</f>
        <v/>
      </c>
      <c r="S218" s="18">
        <f>NOW()</f>
        <v/>
      </c>
    </row>
    <row r="219" ht="15.75" customHeight="1" s="8">
      <c r="A219" s="5" t="inlineStr">
        <is>
          <t>TRX0151</t>
        </is>
      </c>
      <c r="B219" s="29" t="n">
        <v>45710</v>
      </c>
      <c r="C219" s="5" t="inlineStr">
        <is>
          <t>CUST040</t>
        </is>
      </c>
      <c r="D219" s="5" t="inlineStr">
        <is>
          <t>Sharon Butler</t>
        </is>
      </c>
      <c r="E219" s="5" t="inlineStr">
        <is>
          <t>P002</t>
        </is>
      </c>
      <c r="F219" s="5" t="inlineStr">
        <is>
          <t>Smartphone</t>
        </is>
      </c>
      <c r="G219" s="5" t="inlineStr">
        <is>
          <t>Electronics</t>
        </is>
      </c>
      <c r="H219" s="5" t="n">
        <v>1</v>
      </c>
      <c r="I219" s="42" t="n">
        <v>699.99</v>
      </c>
      <c r="J219" s="5" t="inlineStr">
        <is>
          <t>PayPal</t>
        </is>
      </c>
      <c r="K219" s="5" t="inlineStr">
        <is>
          <t>West</t>
        </is>
      </c>
      <c r="L219" s="5" t="inlineStr">
        <is>
          <t>Basic</t>
        </is>
      </c>
      <c r="M219" s="29" t="n">
        <v>44934</v>
      </c>
      <c r="N219" s="42" t="n">
        <v>699.99</v>
      </c>
      <c r="O219" s="0">
        <f>TEXT(B219,"yyyy-mm")</f>
        <v/>
      </c>
      <c r="P219" s="43">
        <f>DATEDIF(M219,TODAY(),"Y")</f>
        <v/>
      </c>
      <c r="Q219" s="0">
        <f>UPPER(LEFT(D219,1)&amp;MID(D219,FIND(" ",D219)+1,1))</f>
        <v/>
      </c>
      <c r="R219" s="44">
        <f>N219*90%</f>
        <v/>
      </c>
      <c r="S219" s="18">
        <f>NOW()</f>
        <v/>
      </c>
    </row>
    <row r="220" ht="15.75" customHeight="1" s="8">
      <c r="A220" s="5" t="inlineStr">
        <is>
          <t>TRX0047</t>
        </is>
      </c>
      <c r="B220" s="29" t="n">
        <v>45711</v>
      </c>
      <c r="C220" s="5" t="inlineStr">
        <is>
          <t>CUST042</t>
        </is>
      </c>
      <c r="D220" s="5" t="inlineStr">
        <is>
          <t>Ruth Brooks</t>
        </is>
      </c>
      <c r="E220" s="5" t="inlineStr">
        <is>
          <t>P002</t>
        </is>
      </c>
      <c r="F220" s="5" t="inlineStr">
        <is>
          <t>Smartphone</t>
        </is>
      </c>
      <c r="G220" s="5" t="inlineStr">
        <is>
          <t>Electronics</t>
        </is>
      </c>
      <c r="H220" s="5" t="n">
        <v>1</v>
      </c>
      <c r="I220" s="42" t="n">
        <v>699.99</v>
      </c>
      <c r="J220" s="5" t="inlineStr">
        <is>
          <t>Cash</t>
        </is>
      </c>
      <c r="K220" s="5" t="inlineStr">
        <is>
          <t>North</t>
        </is>
      </c>
      <c r="L220" s="5" t="inlineStr">
        <is>
          <t>Premium</t>
        </is>
      </c>
      <c r="M220" s="29" t="n">
        <v>44583</v>
      </c>
      <c r="N220" s="42" t="n">
        <v>699.99</v>
      </c>
      <c r="O220" s="0">
        <f>TEXT(B220,"yyyy-mm")</f>
        <v/>
      </c>
      <c r="P220" s="43">
        <f>DATEDIF(M220,TODAY(),"Y")</f>
        <v/>
      </c>
      <c r="Q220" s="0">
        <f>UPPER(LEFT(D220,1)&amp;MID(D220,FIND(" ",D220)+1,1))</f>
        <v/>
      </c>
      <c r="R220" s="44">
        <f>N220*90%</f>
        <v/>
      </c>
      <c r="S220" s="18">
        <f>NOW()</f>
        <v/>
      </c>
    </row>
    <row r="221" ht="15.75" customHeight="1" s="8">
      <c r="A221" s="5" t="inlineStr">
        <is>
          <t>TRX0200</t>
        </is>
      </c>
      <c r="B221" s="29" t="n">
        <v>45711</v>
      </c>
      <c r="C221" s="5" t="inlineStr">
        <is>
          <t>CUST037</t>
        </is>
      </c>
      <c r="D221" s="5" t="inlineStr">
        <is>
          <t>Arthur Edwards</t>
        </is>
      </c>
      <c r="E221" s="5" t="inlineStr">
        <is>
          <t>P008</t>
        </is>
      </c>
      <c r="F221" s="5" t="inlineStr">
        <is>
          <t>Bookshelf</t>
        </is>
      </c>
      <c r="G221" s="5" t="inlineStr">
        <is>
          <t>Furniture</t>
        </is>
      </c>
      <c r="H221" s="5" t="n">
        <v>4</v>
      </c>
      <c r="I221" s="42" t="n">
        <v>149.99</v>
      </c>
      <c r="J221" s="5" t="inlineStr">
        <is>
          <t>PayPal</t>
        </is>
      </c>
      <c r="K221" s="5" t="inlineStr">
        <is>
          <t>North</t>
        </is>
      </c>
      <c r="L221" s="5" t="inlineStr">
        <is>
          <t>Premium</t>
        </is>
      </c>
      <c r="M221" s="29" t="n">
        <v>44412</v>
      </c>
      <c r="N221" s="42" t="n">
        <v>599.96</v>
      </c>
      <c r="O221" s="0">
        <f>TEXT(B221,"yyyy-mm")</f>
        <v/>
      </c>
      <c r="P221" s="43">
        <f>DATEDIF(M221,TODAY(),"Y")</f>
        <v/>
      </c>
      <c r="Q221" s="0">
        <f>UPPER(LEFT(D221,1)&amp;MID(D221,FIND(" ",D221)+1,1))</f>
        <v/>
      </c>
      <c r="R221" s="44">
        <f>N221*90%</f>
        <v/>
      </c>
      <c r="S221" s="18">
        <f>NOW()</f>
        <v/>
      </c>
    </row>
    <row r="222" ht="15.75" customHeight="1" s="8">
      <c r="A222" s="5" t="inlineStr">
        <is>
          <t>TRX0062</t>
        </is>
      </c>
      <c r="B222" s="29" t="n">
        <v>45711</v>
      </c>
      <c r="C222" s="5" t="inlineStr">
        <is>
          <t>CUST016</t>
        </is>
      </c>
      <c r="D222" s="5" t="inlineStr">
        <is>
          <t>Elizabeth Hall</t>
        </is>
      </c>
      <c r="E222" s="5" t="inlineStr">
        <is>
          <t>P010</t>
        </is>
      </c>
      <c r="F222" s="5" t="inlineStr">
        <is>
          <t>Keyboard</t>
        </is>
      </c>
      <c r="G222" s="5" t="inlineStr">
        <is>
          <t>Electronics</t>
        </is>
      </c>
      <c r="H222" s="5" t="n">
        <v>5</v>
      </c>
      <c r="I222" s="42" t="n">
        <v>89.98999999999999</v>
      </c>
      <c r="J222" s="5" t="inlineStr">
        <is>
          <t>PayPal</t>
        </is>
      </c>
      <c r="K222" s="5" t="inlineStr">
        <is>
          <t>West</t>
        </is>
      </c>
      <c r="L222" s="5" t="inlineStr">
        <is>
          <t>Premium</t>
        </is>
      </c>
      <c r="M222" s="29" t="n">
        <v>45140</v>
      </c>
      <c r="N222" s="42" t="n">
        <v>449.95</v>
      </c>
      <c r="O222" s="0">
        <f>TEXT(B222,"yyyy-mm")</f>
        <v/>
      </c>
      <c r="P222" s="43">
        <f>DATEDIF(M222,TODAY(),"Y")</f>
        <v/>
      </c>
      <c r="Q222" s="0">
        <f>UPPER(LEFT(D222,1)&amp;MID(D222,FIND(" ",D222)+1,1))</f>
        <v/>
      </c>
      <c r="R222" s="44">
        <f>N222*90%</f>
        <v/>
      </c>
      <c r="S222" s="18">
        <f>NOW()</f>
        <v/>
      </c>
    </row>
    <row r="223" ht="15.75" customHeight="1" s="8">
      <c r="A223" s="5" t="inlineStr">
        <is>
          <t>TRX0182</t>
        </is>
      </c>
      <c r="B223" s="29" t="n">
        <v>45712</v>
      </c>
      <c r="C223" s="5" t="inlineStr">
        <is>
          <t>CUST031</t>
        </is>
      </c>
      <c r="D223" s="5" t="inlineStr">
        <is>
          <t>Steven Turner</t>
        </is>
      </c>
      <c r="E223" s="5" t="inlineStr">
        <is>
          <t>P006</t>
        </is>
      </c>
      <c r="F223" s="5" t="inlineStr">
        <is>
          <t>Office Chair</t>
        </is>
      </c>
      <c r="G223" s="5" t="inlineStr">
        <is>
          <t>Furniture</t>
        </is>
      </c>
      <c r="H223" s="5" t="n">
        <v>2</v>
      </c>
      <c r="I223" s="42" t="n">
        <v>199.99</v>
      </c>
      <c r="J223" s="5" t="inlineStr">
        <is>
          <t>Cash</t>
        </is>
      </c>
      <c r="K223" s="5" t="inlineStr">
        <is>
          <t>Central</t>
        </is>
      </c>
      <c r="L223" s="5" t="inlineStr">
        <is>
          <t>Premium</t>
        </is>
      </c>
      <c r="M223" s="29" t="n">
        <v>44573</v>
      </c>
      <c r="N223" s="42" t="n">
        <v>399.98</v>
      </c>
      <c r="O223" s="0">
        <f>TEXT(B223,"yyyy-mm")</f>
        <v/>
      </c>
      <c r="P223" s="43">
        <f>DATEDIF(M223,TODAY(),"Y")</f>
        <v/>
      </c>
      <c r="Q223" s="0">
        <f>UPPER(LEFT(D223,1)&amp;MID(D223,FIND(" ",D223)+1,1))</f>
        <v/>
      </c>
      <c r="R223" s="44">
        <f>N223*90%</f>
        <v/>
      </c>
      <c r="S223" s="18">
        <f>NOW()</f>
        <v/>
      </c>
    </row>
    <row r="224" ht="15.75" customHeight="1" s="8">
      <c r="A224" s="5" t="inlineStr">
        <is>
          <t>TRX0229</t>
        </is>
      </c>
      <c r="B224" s="29" t="n">
        <v>45715</v>
      </c>
      <c r="C224" s="5" t="inlineStr">
        <is>
          <t>CUST015</t>
        </is>
      </c>
      <c r="D224" s="5" t="inlineStr">
        <is>
          <t>Richard Lee</t>
        </is>
      </c>
      <c r="E224" s="5" t="inlineStr">
        <is>
          <t>P005</t>
        </is>
      </c>
      <c r="F224" s="5" t="inlineStr">
        <is>
          <t>Blender</t>
        </is>
      </c>
      <c r="G224" s="5" t="inlineStr">
        <is>
          <t>Appliances</t>
        </is>
      </c>
      <c r="H224" s="5" t="n">
        <v>4</v>
      </c>
      <c r="I224" s="42" t="n">
        <v>59.99</v>
      </c>
      <c r="J224" s="5" t="inlineStr">
        <is>
          <t>Cash</t>
        </is>
      </c>
      <c r="K224" s="5" t="inlineStr">
        <is>
          <t>West</t>
        </is>
      </c>
      <c r="L224" s="5" t="inlineStr">
        <is>
          <t>Standard</t>
        </is>
      </c>
      <c r="M224" s="29" t="n">
        <v>45070</v>
      </c>
      <c r="N224" s="42" t="n">
        <v>239.96</v>
      </c>
      <c r="O224" s="0">
        <f>TEXT(B224,"yyyy-mm")</f>
        <v/>
      </c>
      <c r="P224" s="43">
        <f>DATEDIF(M224,TODAY(),"Y")</f>
        <v/>
      </c>
      <c r="Q224" s="0">
        <f>UPPER(LEFT(D224,1)&amp;MID(D224,FIND(" ",D224)+1,1))</f>
        <v/>
      </c>
      <c r="R224" s="44">
        <f>N224*90%</f>
        <v/>
      </c>
      <c r="S224" s="18">
        <f>NOW()</f>
        <v/>
      </c>
    </row>
    <row r="225" ht="15.75" customHeight="1" s="8">
      <c r="A225" s="5" t="inlineStr">
        <is>
          <t>TRX0048</t>
        </is>
      </c>
      <c r="B225" s="29" t="n">
        <v>45715</v>
      </c>
      <c r="C225" s="5" t="inlineStr">
        <is>
          <t>CUST048</t>
        </is>
      </c>
      <c r="D225" s="5" t="inlineStr">
        <is>
          <t>Virginia Sanders</t>
        </is>
      </c>
      <c r="E225" s="5" t="inlineStr">
        <is>
          <t>P007</t>
        </is>
      </c>
      <c r="F225" s="5" t="inlineStr">
        <is>
          <t>Desk</t>
        </is>
      </c>
      <c r="G225" s="5" t="inlineStr">
        <is>
          <t>Furniture</t>
        </is>
      </c>
      <c r="H225" s="5" t="n">
        <v>2</v>
      </c>
      <c r="I225" s="42" t="n">
        <v>299.99</v>
      </c>
      <c r="J225" s="5" t="inlineStr">
        <is>
          <t>PayPal</t>
        </is>
      </c>
      <c r="K225" s="5" t="inlineStr">
        <is>
          <t>South</t>
        </is>
      </c>
      <c r="L225" s="5" t="inlineStr">
        <is>
          <t>Basic</t>
        </is>
      </c>
      <c r="M225" s="29" t="n">
        <v>44576</v>
      </c>
      <c r="N225" s="42" t="n">
        <v>599.98</v>
      </c>
      <c r="O225" s="0">
        <f>TEXT(B225,"yyyy-mm")</f>
        <v/>
      </c>
      <c r="P225" s="43">
        <f>DATEDIF(M225,TODAY(),"Y")</f>
        <v/>
      </c>
      <c r="Q225" s="0">
        <f>UPPER(LEFT(D225,1)&amp;MID(D225,FIND(" ",D225)+1,1))</f>
        <v/>
      </c>
      <c r="R225" s="44">
        <f>N225*90%</f>
        <v/>
      </c>
      <c r="S225" s="18">
        <f>NOW()</f>
        <v/>
      </c>
    </row>
    <row r="226" ht="15.75" customHeight="1" s="8">
      <c r="A226" s="5" t="inlineStr">
        <is>
          <t>TRX0227</t>
        </is>
      </c>
      <c r="B226" s="29" t="n">
        <v>45718</v>
      </c>
      <c r="C226" s="5" t="inlineStr">
        <is>
          <t>CUST017</t>
        </is>
      </c>
      <c r="D226" s="5" t="inlineStr">
        <is>
          <t>Charles Allen</t>
        </is>
      </c>
      <c r="E226" s="5" t="inlineStr">
        <is>
          <t>P008</t>
        </is>
      </c>
      <c r="F226" s="5" t="inlineStr">
        <is>
          <t>Bookshelf</t>
        </is>
      </c>
      <c r="G226" s="5" t="inlineStr">
        <is>
          <t>Furniture</t>
        </is>
      </c>
      <c r="H226" s="5" t="n">
        <v>2</v>
      </c>
      <c r="I226" s="42" t="n">
        <v>149.99</v>
      </c>
      <c r="J226" s="5" t="inlineStr">
        <is>
          <t>Cash</t>
        </is>
      </c>
      <c r="K226" s="5" t="inlineStr">
        <is>
          <t>Central</t>
        </is>
      </c>
      <c r="L226" s="5" t="inlineStr">
        <is>
          <t>Basic</t>
        </is>
      </c>
      <c r="M226" s="29" t="n">
        <v>45068</v>
      </c>
      <c r="N226" s="42" t="n">
        <v>299.98</v>
      </c>
      <c r="O226" s="0">
        <f>TEXT(B226,"yyyy-mm")</f>
        <v/>
      </c>
      <c r="P226" s="43">
        <f>DATEDIF(M226,TODAY(),"Y")</f>
        <v/>
      </c>
      <c r="Q226" s="0">
        <f>UPPER(LEFT(D226,1)&amp;MID(D226,FIND(" ",D226)+1,1))</f>
        <v/>
      </c>
      <c r="R226" s="44">
        <f>N226*90%</f>
        <v/>
      </c>
      <c r="S226" s="18">
        <f>NOW()</f>
        <v/>
      </c>
    </row>
    <row r="227" ht="15.75" customHeight="1" s="8">
      <c r="A227" s="5" t="inlineStr">
        <is>
          <t>TRX0226</t>
        </is>
      </c>
      <c r="B227" s="29" t="n">
        <v>45720</v>
      </c>
      <c r="C227" s="5" t="inlineStr">
        <is>
          <t>CUST039</t>
        </is>
      </c>
      <c r="D227" s="5" t="inlineStr">
        <is>
          <t>Lawrence Reed</t>
        </is>
      </c>
      <c r="E227" s="5" t="inlineStr">
        <is>
          <t>P002</t>
        </is>
      </c>
      <c r="F227" s="5" t="inlineStr">
        <is>
          <t>Smartphone</t>
        </is>
      </c>
      <c r="G227" s="5" t="inlineStr">
        <is>
          <t>Electronics</t>
        </is>
      </c>
      <c r="H227" s="5" t="n">
        <v>5</v>
      </c>
      <c r="I227" s="42" t="n">
        <v>699.99</v>
      </c>
      <c r="J227" s="5" t="inlineStr">
        <is>
          <t>Debit Card</t>
        </is>
      </c>
      <c r="K227" s="5" t="inlineStr">
        <is>
          <t>East</t>
        </is>
      </c>
      <c r="L227" s="5" t="inlineStr">
        <is>
          <t>Premium</t>
        </is>
      </c>
      <c r="M227" s="29" t="n">
        <v>45161</v>
      </c>
      <c r="N227" s="42" t="n">
        <v>3499.95</v>
      </c>
      <c r="O227" s="0">
        <f>TEXT(B227,"yyyy-mm")</f>
        <v/>
      </c>
      <c r="P227" s="43">
        <f>DATEDIF(M227,TODAY(),"Y")</f>
        <v/>
      </c>
      <c r="Q227" s="0">
        <f>UPPER(LEFT(D227,1)&amp;MID(D227,FIND(" ",D227)+1,1))</f>
        <v/>
      </c>
      <c r="R227" s="44">
        <f>N227*90%</f>
        <v/>
      </c>
      <c r="S227" s="18">
        <f>NOW()</f>
        <v/>
      </c>
    </row>
    <row r="228" ht="15.75" customHeight="1" s="8">
      <c r="A228" s="5" t="inlineStr">
        <is>
          <t>TRX0053</t>
        </is>
      </c>
      <c r="B228" s="29" t="n">
        <v>45721</v>
      </c>
      <c r="C228" s="5" t="inlineStr">
        <is>
          <t>CUST043</t>
        </is>
      </c>
      <c r="D228" s="5" t="inlineStr">
        <is>
          <t>Dennis Gray</t>
        </is>
      </c>
      <c r="E228" s="5" t="inlineStr">
        <is>
          <t>P005</t>
        </is>
      </c>
      <c r="F228" s="5" t="inlineStr">
        <is>
          <t>Blender</t>
        </is>
      </c>
      <c r="G228" s="5" t="inlineStr">
        <is>
          <t>Appliances</t>
        </is>
      </c>
      <c r="H228" s="5" t="n">
        <v>5</v>
      </c>
      <c r="I228" s="42" t="n">
        <v>59.99</v>
      </c>
      <c r="J228" s="5" t="inlineStr">
        <is>
          <t>Cash</t>
        </is>
      </c>
      <c r="K228" s="5" t="inlineStr">
        <is>
          <t>West</t>
        </is>
      </c>
      <c r="L228" s="5" t="inlineStr">
        <is>
          <t>Premium</t>
        </is>
      </c>
      <c r="M228" s="29" t="n">
        <v>45291</v>
      </c>
      <c r="N228" s="42" t="n">
        <v>299.95</v>
      </c>
      <c r="O228" s="0">
        <f>TEXT(B228,"yyyy-mm")</f>
        <v/>
      </c>
      <c r="P228" s="43">
        <f>DATEDIF(M228,TODAY(),"Y")</f>
        <v/>
      </c>
      <c r="Q228" s="0">
        <f>UPPER(LEFT(D228,1)&amp;MID(D228,FIND(" ",D228)+1,1))</f>
        <v/>
      </c>
      <c r="R228" s="44">
        <f>N228*90%</f>
        <v/>
      </c>
      <c r="S228" s="18">
        <f>NOW()</f>
        <v/>
      </c>
    </row>
    <row r="229" ht="15.75" customHeight="1" s="8">
      <c r="A229" s="5" t="inlineStr">
        <is>
          <t>TRX0233</t>
        </is>
      </c>
      <c r="B229" s="29" t="n">
        <v>45723</v>
      </c>
      <c r="C229" s="5" t="inlineStr">
        <is>
          <t>CUST023</t>
        </is>
      </c>
      <c r="D229" s="5" t="inlineStr">
        <is>
          <t>Paul Baker</t>
        </is>
      </c>
      <c r="E229" s="5" t="inlineStr">
        <is>
          <t>P010</t>
        </is>
      </c>
      <c r="F229" s="5" t="inlineStr">
        <is>
          <t>Keyboard</t>
        </is>
      </c>
      <c r="G229" s="5" t="inlineStr">
        <is>
          <t>Electronics</t>
        </is>
      </c>
      <c r="H229" s="5" t="n">
        <v>2</v>
      </c>
      <c r="I229" s="42" t="n">
        <v>89.98999999999999</v>
      </c>
      <c r="J229" s="5" t="inlineStr">
        <is>
          <t>Credit Card</t>
        </is>
      </c>
      <c r="K229" s="5" t="inlineStr">
        <is>
          <t>West</t>
        </is>
      </c>
      <c r="L229" s="5" t="inlineStr">
        <is>
          <t>Premium</t>
        </is>
      </c>
      <c r="M229" s="29" t="n">
        <v>45295</v>
      </c>
      <c r="N229" s="42" t="n">
        <v>179.98</v>
      </c>
      <c r="O229" s="0">
        <f>TEXT(B229,"yyyy-mm")</f>
        <v/>
      </c>
      <c r="P229" s="43">
        <f>DATEDIF(M229,TODAY(),"Y")</f>
        <v/>
      </c>
      <c r="Q229" s="0">
        <f>UPPER(LEFT(D229,1)&amp;MID(D229,FIND(" ",D229)+1,1))</f>
        <v/>
      </c>
      <c r="R229" s="44">
        <f>N229*90%</f>
        <v/>
      </c>
      <c r="S229" s="18">
        <f>NOW()</f>
        <v/>
      </c>
    </row>
    <row r="230" ht="15.75" customHeight="1" s="8">
      <c r="A230" s="5" t="inlineStr">
        <is>
          <t>TRX0175</t>
        </is>
      </c>
      <c r="B230" s="29" t="n">
        <v>45723</v>
      </c>
      <c r="C230" s="5" t="inlineStr">
        <is>
          <t>CUST030</t>
        </is>
      </c>
      <c r="D230" s="5" t="inlineStr">
        <is>
          <t>Helen Roberts</t>
        </is>
      </c>
      <c r="E230" s="5" t="inlineStr">
        <is>
          <t>P009</t>
        </is>
      </c>
      <c r="F230" s="5" t="inlineStr">
        <is>
          <t>Monitor</t>
        </is>
      </c>
      <c r="G230" s="5" t="inlineStr">
        <is>
          <t>Electronics</t>
        </is>
      </c>
      <c r="H230" s="5" t="n">
        <v>5</v>
      </c>
      <c r="I230" s="42" t="n">
        <v>249.99</v>
      </c>
      <c r="J230" s="5" t="inlineStr">
        <is>
          <t>Cash</t>
        </is>
      </c>
      <c r="K230" s="5" t="inlineStr">
        <is>
          <t>East</t>
        </is>
      </c>
      <c r="L230" s="5" t="inlineStr">
        <is>
          <t>Standard</t>
        </is>
      </c>
      <c r="M230" s="29" t="n">
        <v>44540</v>
      </c>
      <c r="N230" s="42" t="n">
        <v>1249.95</v>
      </c>
      <c r="O230" s="0">
        <f>TEXT(B230,"yyyy-mm")</f>
        <v/>
      </c>
      <c r="P230" s="43">
        <f>DATEDIF(M230,TODAY(),"Y")</f>
        <v/>
      </c>
      <c r="Q230" s="0">
        <f>UPPER(LEFT(D230,1)&amp;MID(D230,FIND(" ",D230)+1,1))</f>
        <v/>
      </c>
      <c r="R230" s="44">
        <f>N230*90%</f>
        <v/>
      </c>
      <c r="S230" s="18">
        <f>NOW()</f>
        <v/>
      </c>
    </row>
    <row r="231" ht="15.75" customHeight="1" s="8">
      <c r="A231" s="5" t="inlineStr">
        <is>
          <t>TRX0186</t>
        </is>
      </c>
      <c r="B231" s="29" t="n">
        <v>45724</v>
      </c>
      <c r="C231" s="5" t="inlineStr">
        <is>
          <t>CUST039</t>
        </is>
      </c>
      <c r="D231" s="5" t="inlineStr">
        <is>
          <t>Lawrence Reed</t>
        </is>
      </c>
      <c r="E231" s="5" t="inlineStr">
        <is>
          <t>P008</t>
        </is>
      </c>
      <c r="F231" s="5" t="inlineStr">
        <is>
          <t>Bookshelf</t>
        </is>
      </c>
      <c r="G231" s="5" t="inlineStr">
        <is>
          <t>Furniture</t>
        </is>
      </c>
      <c r="H231" s="5" t="n">
        <v>2</v>
      </c>
      <c r="I231" s="42" t="n">
        <v>149.99</v>
      </c>
      <c r="J231" s="5" t="inlineStr">
        <is>
          <t>PayPal</t>
        </is>
      </c>
      <c r="K231" s="5" t="inlineStr">
        <is>
          <t>Central</t>
        </is>
      </c>
      <c r="L231" s="5" t="inlineStr">
        <is>
          <t>Premium</t>
        </is>
      </c>
      <c r="M231" s="29" t="n">
        <v>44632</v>
      </c>
      <c r="N231" s="42" t="n">
        <v>299.98</v>
      </c>
      <c r="O231" s="0">
        <f>TEXT(B231,"yyyy-mm")</f>
        <v/>
      </c>
      <c r="P231" s="43">
        <f>DATEDIF(M231,TODAY(),"Y")</f>
        <v/>
      </c>
      <c r="Q231" s="0">
        <f>UPPER(LEFT(D231,1)&amp;MID(D231,FIND(" ",D231)+1,1))</f>
        <v/>
      </c>
      <c r="R231" s="44">
        <f>N231*90%</f>
        <v/>
      </c>
      <c r="S231" s="18">
        <f>NOW()</f>
        <v/>
      </c>
    </row>
    <row r="232" ht="15.75" customHeight="1" s="8">
      <c r="A232" s="5" t="inlineStr">
        <is>
          <t>TRX0016</t>
        </is>
      </c>
      <c r="B232" s="29" t="n">
        <v>45724</v>
      </c>
      <c r="C232" s="5" t="inlineStr">
        <is>
          <t>CUST035</t>
        </is>
      </c>
      <c r="D232" s="5" t="inlineStr">
        <is>
          <t>Harry Morgan</t>
        </is>
      </c>
      <c r="E232" s="5" t="inlineStr">
        <is>
          <t>P001</t>
        </is>
      </c>
      <c r="F232" s="5" t="inlineStr">
        <is>
          <t>Laptop</t>
        </is>
      </c>
      <c r="G232" s="5" t="inlineStr">
        <is>
          <t>Electronics</t>
        </is>
      </c>
      <c r="H232" s="5" t="n">
        <v>5</v>
      </c>
      <c r="I232" s="42" t="n">
        <v>899.99</v>
      </c>
      <c r="J232" s="5" t="inlineStr">
        <is>
          <t>PayPal</t>
        </is>
      </c>
      <c r="K232" s="5" t="inlineStr">
        <is>
          <t>East</t>
        </is>
      </c>
      <c r="L232" s="5" t="inlineStr">
        <is>
          <t>Premium</t>
        </is>
      </c>
      <c r="M232" s="29" t="n">
        <v>45389</v>
      </c>
      <c r="N232" s="42" t="n">
        <v>4499.95</v>
      </c>
      <c r="O232" s="0">
        <f>TEXT(B232,"yyyy-mm")</f>
        <v/>
      </c>
      <c r="P232" s="43">
        <f>DATEDIF(M232,TODAY(),"Y")</f>
        <v/>
      </c>
      <c r="Q232" s="0">
        <f>UPPER(LEFT(D232,1)&amp;MID(D232,FIND(" ",D232)+1,1))</f>
        <v/>
      </c>
      <c r="R232" s="44">
        <f>N232*90%</f>
        <v/>
      </c>
      <c r="S232" s="18">
        <f>NOW()</f>
        <v/>
      </c>
    </row>
    <row r="233" ht="15.75" customHeight="1" s="8">
      <c r="A233" s="5" t="inlineStr">
        <is>
          <t>TRX0199</t>
        </is>
      </c>
      <c r="B233" s="29" t="n">
        <v>45724</v>
      </c>
      <c r="C233" s="5" t="inlineStr">
        <is>
          <t>CUST017</t>
        </is>
      </c>
      <c r="D233" s="5" t="inlineStr">
        <is>
          <t>Charles Allen</t>
        </is>
      </c>
      <c r="E233" s="5" t="inlineStr">
        <is>
          <t>P008</t>
        </is>
      </c>
      <c r="F233" s="5" t="inlineStr">
        <is>
          <t>Bookshelf</t>
        </is>
      </c>
      <c r="G233" s="5" t="inlineStr">
        <is>
          <t>Furniture</t>
        </is>
      </c>
      <c r="H233" s="5" t="n">
        <v>4</v>
      </c>
      <c r="I233" s="42" t="n">
        <v>149.99</v>
      </c>
      <c r="J233" s="5" t="inlineStr">
        <is>
          <t>Cash</t>
        </is>
      </c>
      <c r="K233" s="5" t="inlineStr">
        <is>
          <t>Central</t>
        </is>
      </c>
      <c r="L233" s="5" t="inlineStr">
        <is>
          <t>Standard</t>
        </is>
      </c>
      <c r="M233" s="29" t="n">
        <v>45263</v>
      </c>
      <c r="N233" s="42" t="n">
        <v>599.96</v>
      </c>
      <c r="O233" s="0">
        <f>TEXT(B233,"yyyy-mm")</f>
        <v/>
      </c>
      <c r="P233" s="43">
        <f>DATEDIF(M233,TODAY(),"Y")</f>
        <v/>
      </c>
      <c r="Q233" s="0">
        <f>UPPER(LEFT(D233,1)&amp;MID(D233,FIND(" ",D233)+1,1))</f>
        <v/>
      </c>
      <c r="R233" s="44">
        <f>N233*90%</f>
        <v/>
      </c>
      <c r="S233" s="18">
        <f>NOW()</f>
        <v/>
      </c>
    </row>
    <row r="234" ht="15.75" customHeight="1" s="8">
      <c r="A234" s="5" t="inlineStr">
        <is>
          <t>TRX0038</t>
        </is>
      </c>
      <c r="B234" s="29" t="n">
        <v>45726</v>
      </c>
      <c r="C234" s="5" t="inlineStr">
        <is>
          <t>CUST035</t>
        </is>
      </c>
      <c r="D234" s="5" t="inlineStr">
        <is>
          <t>Harry Morgan</t>
        </is>
      </c>
      <c r="E234" s="5" t="inlineStr">
        <is>
          <t>P009</t>
        </is>
      </c>
      <c r="F234" s="5" t="inlineStr">
        <is>
          <t>Monitor</t>
        </is>
      </c>
      <c r="G234" s="5" t="inlineStr">
        <is>
          <t>Electronics</t>
        </is>
      </c>
      <c r="H234" s="5" t="n">
        <v>1</v>
      </c>
      <c r="I234" s="42" t="n">
        <v>249.99</v>
      </c>
      <c r="J234" s="5" t="inlineStr">
        <is>
          <t>Cash</t>
        </is>
      </c>
      <c r="K234" s="5" t="inlineStr">
        <is>
          <t>North</t>
        </is>
      </c>
      <c r="L234" s="5" t="inlineStr">
        <is>
          <t>Standard</t>
        </is>
      </c>
      <c r="M234" s="29" t="n">
        <v>45117</v>
      </c>
      <c r="N234" s="42" t="n">
        <v>249.99</v>
      </c>
      <c r="O234" s="0">
        <f>TEXT(B234,"yyyy-mm")</f>
        <v/>
      </c>
      <c r="P234" s="43">
        <f>DATEDIF(M234,TODAY(),"Y")</f>
        <v/>
      </c>
      <c r="Q234" s="0">
        <f>UPPER(LEFT(D234,1)&amp;MID(D234,FIND(" ",D234)+1,1))</f>
        <v/>
      </c>
      <c r="R234" s="44">
        <f>N234*90%</f>
        <v/>
      </c>
      <c r="S234" s="18">
        <f>NOW()</f>
        <v/>
      </c>
    </row>
    <row r="235" ht="15.75" customHeight="1" s="8">
      <c r="A235" s="5" t="inlineStr">
        <is>
          <t>TRX0014</t>
        </is>
      </c>
      <c r="B235" s="29" t="n">
        <v>45734</v>
      </c>
      <c r="C235" s="5" t="inlineStr">
        <is>
          <t>CUST033</t>
        </is>
      </c>
      <c r="D235" s="5" t="inlineStr">
        <is>
          <t>Frank Torres</t>
        </is>
      </c>
      <c r="E235" s="5" t="inlineStr">
        <is>
          <t>P005</t>
        </is>
      </c>
      <c r="F235" s="5" t="inlineStr">
        <is>
          <t>Blender</t>
        </is>
      </c>
      <c r="G235" s="5" t="inlineStr">
        <is>
          <t>Appliances</t>
        </is>
      </c>
      <c r="H235" s="5" t="n">
        <v>2</v>
      </c>
      <c r="I235" s="42" t="n">
        <v>59.99</v>
      </c>
      <c r="J235" s="5" t="inlineStr">
        <is>
          <t>Credit Card</t>
        </is>
      </c>
      <c r="K235" s="5" t="inlineStr">
        <is>
          <t>West</t>
        </is>
      </c>
      <c r="L235" s="5" t="inlineStr">
        <is>
          <t>Basic</t>
        </is>
      </c>
      <c r="M235" s="29" t="n">
        <v>45193</v>
      </c>
      <c r="N235" s="42" t="n">
        <v>119.98</v>
      </c>
      <c r="O235" s="0">
        <f>TEXT(B235,"yyyy-mm")</f>
        <v/>
      </c>
      <c r="P235" s="43">
        <f>DATEDIF(M235,TODAY(),"Y")</f>
        <v/>
      </c>
      <c r="Q235" s="0">
        <f>UPPER(LEFT(D235,1)&amp;MID(D235,FIND(" ",D235)+1,1))</f>
        <v/>
      </c>
      <c r="R235" s="44">
        <f>N235*90%</f>
        <v/>
      </c>
      <c r="S235" s="18">
        <f>NOW()</f>
        <v/>
      </c>
    </row>
    <row r="236" ht="15.75" customHeight="1" s="8">
      <c r="A236" s="5" t="inlineStr">
        <is>
          <t>TRX0003</t>
        </is>
      </c>
      <c r="B236" s="29" t="n">
        <v>45737</v>
      </c>
      <c r="C236" s="5" t="inlineStr">
        <is>
          <t>CUST002</t>
        </is>
      </c>
      <c r="D236" s="5" t="inlineStr">
        <is>
          <t>Emma Wilson</t>
        </is>
      </c>
      <c r="E236" s="5" t="inlineStr">
        <is>
          <t>P008</t>
        </is>
      </c>
      <c r="F236" s="5" t="inlineStr">
        <is>
          <t>Bookshelf</t>
        </is>
      </c>
      <c r="G236" s="5" t="inlineStr">
        <is>
          <t>Furniture</t>
        </is>
      </c>
      <c r="H236" s="5" t="n">
        <v>2</v>
      </c>
      <c r="I236" s="42" t="n">
        <v>149.99</v>
      </c>
      <c r="J236" s="5" t="inlineStr">
        <is>
          <t>Cash</t>
        </is>
      </c>
      <c r="K236" s="5" t="inlineStr">
        <is>
          <t>West</t>
        </is>
      </c>
      <c r="L236" s="5" t="inlineStr">
        <is>
          <t>Premium</t>
        </is>
      </c>
      <c r="M236" s="29" t="n">
        <v>45233</v>
      </c>
      <c r="N236" s="42" t="n">
        <v>299.98</v>
      </c>
      <c r="O236" s="0">
        <f>TEXT(B236,"yyyy-mm")</f>
        <v/>
      </c>
      <c r="P236" s="43">
        <f>DATEDIF(M236,TODAY(),"Y")</f>
        <v/>
      </c>
      <c r="Q236" s="0">
        <f>UPPER(LEFT(D236,1)&amp;MID(D236,FIND(" ",D236)+1,1))</f>
        <v/>
      </c>
      <c r="R236" s="44">
        <f>N236*90%</f>
        <v/>
      </c>
      <c r="S236" s="18">
        <f>NOW()</f>
        <v/>
      </c>
    </row>
    <row r="237" ht="15.75" customHeight="1" s="8">
      <c r="A237" s="5" t="inlineStr">
        <is>
          <t>TRX0124</t>
        </is>
      </c>
      <c r="B237" s="29" t="n">
        <v>45737</v>
      </c>
      <c r="C237" s="5" t="inlineStr">
        <is>
          <t>CUST040</t>
        </is>
      </c>
      <c r="D237" s="5" t="inlineStr">
        <is>
          <t>Sharon Butler</t>
        </is>
      </c>
      <c r="E237" s="5" t="inlineStr">
        <is>
          <t>P001</t>
        </is>
      </c>
      <c r="F237" s="5" t="inlineStr">
        <is>
          <t>Laptop</t>
        </is>
      </c>
      <c r="G237" s="5" t="inlineStr">
        <is>
          <t>Electronics</t>
        </is>
      </c>
      <c r="H237" s="5" t="n">
        <v>3</v>
      </c>
      <c r="I237" s="42" t="n">
        <v>899.99</v>
      </c>
      <c r="J237" s="5" t="inlineStr">
        <is>
          <t>Debit Card</t>
        </is>
      </c>
      <c r="K237" s="5" t="inlineStr">
        <is>
          <t>North</t>
        </is>
      </c>
      <c r="L237" s="5" t="inlineStr">
        <is>
          <t>Premium</t>
        </is>
      </c>
      <c r="M237" s="29" t="n">
        <v>44876</v>
      </c>
      <c r="N237" s="42" t="n">
        <v>2699.97</v>
      </c>
      <c r="O237" s="0">
        <f>TEXT(B237,"yyyy-mm")</f>
        <v/>
      </c>
      <c r="P237" s="43">
        <f>DATEDIF(M237,TODAY(),"Y")</f>
        <v/>
      </c>
      <c r="Q237" s="0">
        <f>UPPER(LEFT(D237,1)&amp;MID(D237,FIND(" ",D237)+1,1))</f>
        <v/>
      </c>
      <c r="R237" s="44">
        <f>N237*90%</f>
        <v/>
      </c>
      <c r="S237" s="18">
        <f>NOW()</f>
        <v/>
      </c>
    </row>
    <row r="238" ht="15.75" customHeight="1" s="8">
      <c r="A238" s="5" t="inlineStr">
        <is>
          <t>TRX0013</t>
        </is>
      </c>
      <c r="B238" s="29" t="n">
        <v>45737</v>
      </c>
      <c r="C238" s="5" t="inlineStr">
        <is>
          <t>CUST024</t>
        </is>
      </c>
      <c r="D238" s="5" t="inlineStr">
        <is>
          <t>Dorothy Nelson</t>
        </is>
      </c>
      <c r="E238" s="5" t="inlineStr">
        <is>
          <t>P001</t>
        </is>
      </c>
      <c r="F238" s="5" t="inlineStr">
        <is>
          <t>Laptop</t>
        </is>
      </c>
      <c r="G238" s="5" t="inlineStr">
        <is>
          <t>Electronics</t>
        </is>
      </c>
      <c r="H238" s="5" t="n">
        <v>3</v>
      </c>
      <c r="I238" s="42" t="n">
        <v>899.99</v>
      </c>
      <c r="J238" s="5" t="inlineStr">
        <is>
          <t>PayPal</t>
        </is>
      </c>
      <c r="K238" s="5" t="inlineStr">
        <is>
          <t>North</t>
        </is>
      </c>
      <c r="L238" s="5" t="inlineStr">
        <is>
          <t>Basic</t>
        </is>
      </c>
      <c r="M238" s="29" t="n">
        <v>44975</v>
      </c>
      <c r="N238" s="42" t="n">
        <v>2699.97</v>
      </c>
      <c r="O238" s="0">
        <f>TEXT(B238,"yyyy-mm")</f>
        <v/>
      </c>
      <c r="P238" s="43">
        <f>DATEDIF(M238,TODAY(),"Y")</f>
        <v/>
      </c>
      <c r="Q238" s="0">
        <f>UPPER(LEFT(D238,1)&amp;MID(D238,FIND(" ",D238)+1,1))</f>
        <v/>
      </c>
      <c r="R238" s="44">
        <f>N238*90%</f>
        <v/>
      </c>
      <c r="S238" s="18">
        <f>NOW()</f>
        <v/>
      </c>
    </row>
    <row r="239" ht="15.75" customHeight="1" s="8">
      <c r="A239" s="5" t="inlineStr">
        <is>
          <t>TRX0019</t>
        </is>
      </c>
      <c r="B239" s="29" t="n">
        <v>45739</v>
      </c>
      <c r="C239" s="5" t="inlineStr">
        <is>
          <t>CUST023</t>
        </is>
      </c>
      <c r="D239" s="5" t="inlineStr">
        <is>
          <t>Paul Baker</t>
        </is>
      </c>
      <c r="E239" s="5" t="inlineStr">
        <is>
          <t>P007</t>
        </is>
      </c>
      <c r="F239" s="5" t="inlineStr">
        <is>
          <t>Desk</t>
        </is>
      </c>
      <c r="G239" s="5" t="inlineStr">
        <is>
          <t>Furniture</t>
        </is>
      </c>
      <c r="H239" s="5" t="n">
        <v>3</v>
      </c>
      <c r="I239" s="42" t="n">
        <v>299.99</v>
      </c>
      <c r="J239" s="5" t="inlineStr">
        <is>
          <t>Credit Card</t>
        </is>
      </c>
      <c r="K239" s="5" t="inlineStr">
        <is>
          <t>West</t>
        </is>
      </c>
      <c r="L239" s="5" t="inlineStr">
        <is>
          <t>Premium</t>
        </is>
      </c>
      <c r="M239" s="29" t="n">
        <v>45234</v>
      </c>
      <c r="N239" s="42" t="n">
        <v>899.97</v>
      </c>
      <c r="O239" s="0">
        <f>TEXT(B239,"yyyy-mm")</f>
        <v/>
      </c>
      <c r="P239" s="43">
        <f>DATEDIF(M239,TODAY(),"Y")</f>
        <v/>
      </c>
      <c r="Q239" s="0">
        <f>UPPER(LEFT(D239,1)&amp;MID(D239,FIND(" ",D239)+1,1))</f>
        <v/>
      </c>
      <c r="R239" s="44">
        <f>N239*90%</f>
        <v/>
      </c>
      <c r="S239" s="18">
        <f>NOW()</f>
        <v/>
      </c>
    </row>
    <row r="240" ht="15.75" customHeight="1" s="8">
      <c r="A240" s="5" t="inlineStr">
        <is>
          <t>TRX0050</t>
        </is>
      </c>
      <c r="B240" s="29" t="n">
        <v>45740</v>
      </c>
      <c r="C240" s="5" t="inlineStr">
        <is>
          <t>CUST001</t>
        </is>
      </c>
      <c r="D240" s="5" t="inlineStr">
        <is>
          <t>John Smith</t>
        </is>
      </c>
      <c r="E240" s="5" t="inlineStr">
        <is>
          <t>P008</t>
        </is>
      </c>
      <c r="F240" s="5" t="inlineStr">
        <is>
          <t>Bookshelf</t>
        </is>
      </c>
      <c r="G240" s="5" t="inlineStr">
        <is>
          <t>Furniture</t>
        </is>
      </c>
      <c r="H240" s="5" t="n">
        <v>4</v>
      </c>
      <c r="I240" s="42" t="n">
        <v>149.99</v>
      </c>
      <c r="J240" s="5" t="inlineStr">
        <is>
          <t>PayPal</t>
        </is>
      </c>
      <c r="K240" s="5" t="inlineStr">
        <is>
          <t>West</t>
        </is>
      </c>
      <c r="L240" s="5" t="inlineStr">
        <is>
          <t>Standard</t>
        </is>
      </c>
      <c r="M240" s="29" t="n">
        <v>44560</v>
      </c>
      <c r="N240" s="42" t="n">
        <v>599.96</v>
      </c>
      <c r="O240" s="0">
        <f>TEXT(B240,"yyyy-mm")</f>
        <v/>
      </c>
      <c r="P240" s="43">
        <f>DATEDIF(M240,TODAY(),"Y")</f>
        <v/>
      </c>
      <c r="Q240" s="0">
        <f>UPPER(LEFT(D240,1)&amp;MID(D240,FIND(" ",D240)+1,1))</f>
        <v/>
      </c>
      <c r="R240" s="44">
        <f>N240*90%</f>
        <v/>
      </c>
      <c r="S240" s="18">
        <f>NOW()</f>
        <v/>
      </c>
    </row>
    <row r="241" ht="15.75" customHeight="1" s="8">
      <c r="A241" s="5" t="inlineStr">
        <is>
          <t>TRX0152</t>
        </is>
      </c>
      <c r="B241" s="29" t="n">
        <v>45743</v>
      </c>
      <c r="C241" s="5" t="inlineStr">
        <is>
          <t>CUST044</t>
        </is>
      </c>
      <c r="D241" s="5" t="inlineStr">
        <is>
          <t>Cynthia Price</t>
        </is>
      </c>
      <c r="E241" s="5" t="inlineStr">
        <is>
          <t>P004</t>
        </is>
      </c>
      <c r="F241" s="5" t="inlineStr">
        <is>
          <t>Coffee Maker</t>
        </is>
      </c>
      <c r="G241" s="5" t="inlineStr">
        <is>
          <t>Appliances</t>
        </is>
      </c>
      <c r="H241" s="5" t="n">
        <v>4</v>
      </c>
      <c r="I241" s="42" t="n">
        <v>79.98999999999999</v>
      </c>
      <c r="J241" s="5" t="inlineStr">
        <is>
          <t>Credit Card</t>
        </is>
      </c>
      <c r="K241" s="5" t="inlineStr">
        <is>
          <t>Central</t>
        </is>
      </c>
      <c r="L241" s="5" t="inlineStr">
        <is>
          <t>Basic</t>
        </is>
      </c>
      <c r="M241" s="29" t="n">
        <v>45288</v>
      </c>
      <c r="N241" s="42" t="n">
        <v>319.96</v>
      </c>
      <c r="O241" s="0">
        <f>TEXT(B241,"yyyy-mm")</f>
        <v/>
      </c>
      <c r="P241" s="43">
        <f>DATEDIF(M241,TODAY(),"Y")</f>
        <v/>
      </c>
      <c r="Q241" s="0">
        <f>UPPER(LEFT(D241,1)&amp;MID(D241,FIND(" ",D241)+1,1))</f>
        <v/>
      </c>
      <c r="R241" s="44">
        <f>N241*90%</f>
        <v/>
      </c>
      <c r="S241" s="18">
        <f>NOW()</f>
        <v/>
      </c>
    </row>
    <row r="242" ht="15.75" customHeight="1" s="8">
      <c r="A242" s="5" t="inlineStr">
        <is>
          <t>TRX0213</t>
        </is>
      </c>
      <c r="B242" s="29" t="n">
        <v>45745</v>
      </c>
      <c r="C242" s="5" t="inlineStr">
        <is>
          <t>CUST020</t>
        </is>
      </c>
      <c r="D242" s="5" t="inlineStr">
        <is>
          <t>Margaret Wright</t>
        </is>
      </c>
      <c r="E242" s="5" t="inlineStr">
        <is>
          <t>P010</t>
        </is>
      </c>
      <c r="F242" s="5" t="inlineStr">
        <is>
          <t>Keyboard</t>
        </is>
      </c>
      <c r="G242" s="5" t="inlineStr">
        <is>
          <t>Electronics</t>
        </is>
      </c>
      <c r="H242" s="5" t="n">
        <v>5</v>
      </c>
      <c r="I242" s="42" t="n">
        <v>89.98999999999999</v>
      </c>
      <c r="J242" s="5" t="inlineStr">
        <is>
          <t>PayPal</t>
        </is>
      </c>
      <c r="K242" s="5" t="inlineStr">
        <is>
          <t>South</t>
        </is>
      </c>
      <c r="L242" s="5" t="inlineStr">
        <is>
          <t>Basic</t>
        </is>
      </c>
      <c r="M242" s="29" t="n">
        <v>44704</v>
      </c>
      <c r="N242" s="42" t="n">
        <v>449.95</v>
      </c>
      <c r="O242" s="0">
        <f>TEXT(B242,"yyyy-mm")</f>
        <v/>
      </c>
      <c r="P242" s="43">
        <f>DATEDIF(M242,TODAY(),"Y")</f>
        <v/>
      </c>
      <c r="Q242" s="0">
        <f>UPPER(LEFT(D242,1)&amp;MID(D242,FIND(" ",D242)+1,1))</f>
        <v/>
      </c>
      <c r="R242" s="44">
        <f>N242*90%</f>
        <v/>
      </c>
      <c r="S242" s="18">
        <f>NOW()</f>
        <v/>
      </c>
    </row>
    <row r="243" ht="15.75" customHeight="1" s="8">
      <c r="A243" s="5" t="inlineStr">
        <is>
          <t>TRX0197</t>
        </is>
      </c>
      <c r="B243" s="29" t="n">
        <v>45746</v>
      </c>
      <c r="C243" s="5" t="inlineStr">
        <is>
          <t>CUST048</t>
        </is>
      </c>
      <c r="D243" s="5" t="inlineStr">
        <is>
          <t>Virginia Sanders</t>
        </is>
      </c>
      <c r="E243" s="5" t="inlineStr">
        <is>
          <t>P008</t>
        </is>
      </c>
      <c r="F243" s="5" t="inlineStr">
        <is>
          <t>Bookshelf</t>
        </is>
      </c>
      <c r="G243" s="5" t="inlineStr">
        <is>
          <t>Furniture</t>
        </is>
      </c>
      <c r="H243" s="5" t="n">
        <v>3</v>
      </c>
      <c r="I243" s="42" t="n">
        <v>149.99</v>
      </c>
      <c r="J243" s="5" t="inlineStr">
        <is>
          <t>PayPal</t>
        </is>
      </c>
      <c r="K243" s="5" t="inlineStr">
        <is>
          <t>Central</t>
        </is>
      </c>
      <c r="L243" s="5" t="inlineStr">
        <is>
          <t>Standard</t>
        </is>
      </c>
      <c r="M243" s="29" t="n">
        <v>45171</v>
      </c>
      <c r="N243" s="42" t="n">
        <v>449.97</v>
      </c>
      <c r="O243" s="0">
        <f>TEXT(B243,"yyyy-mm")</f>
        <v/>
      </c>
      <c r="P243" s="43">
        <f>DATEDIF(M243,TODAY(),"Y")</f>
        <v/>
      </c>
      <c r="Q243" s="0">
        <f>UPPER(LEFT(D243,1)&amp;MID(D243,FIND(" ",D243)+1,1))</f>
        <v/>
      </c>
      <c r="R243" s="44">
        <f>N243*90%</f>
        <v/>
      </c>
      <c r="S243" s="18">
        <f>NOW()</f>
        <v/>
      </c>
    </row>
    <row r="244" ht="15.75" customHeight="1" s="8">
      <c r="A244" s="5" t="inlineStr">
        <is>
          <t>TRX0250</t>
        </is>
      </c>
      <c r="B244" s="29" t="n">
        <v>45746</v>
      </c>
      <c r="C244" s="5" t="inlineStr">
        <is>
          <t>CUST026</t>
        </is>
      </c>
      <c r="D244" s="5" t="inlineStr">
        <is>
          <t>Karen Hill</t>
        </is>
      </c>
      <c r="E244" s="5" t="inlineStr">
        <is>
          <t>P010</t>
        </is>
      </c>
      <c r="F244" s="5" t="inlineStr">
        <is>
          <t>Keyboard</t>
        </is>
      </c>
      <c r="G244" s="5" t="inlineStr">
        <is>
          <t>Electronics</t>
        </is>
      </c>
      <c r="H244" s="5" t="n">
        <v>2</v>
      </c>
      <c r="I244" s="42" t="n">
        <v>89.98999999999999</v>
      </c>
      <c r="J244" s="5" t="inlineStr">
        <is>
          <t>Debit Card</t>
        </is>
      </c>
      <c r="K244" s="5" t="inlineStr">
        <is>
          <t>West</t>
        </is>
      </c>
      <c r="L244" s="5" t="inlineStr">
        <is>
          <t>Premium</t>
        </is>
      </c>
      <c r="M244" s="29" t="n">
        <v>44522</v>
      </c>
      <c r="N244" s="42" t="n">
        <v>179.98</v>
      </c>
      <c r="O244" s="0">
        <f>TEXT(B244,"yyyy-mm")</f>
        <v/>
      </c>
      <c r="P244" s="43">
        <f>DATEDIF(M244,TODAY(),"Y")</f>
        <v/>
      </c>
      <c r="Q244" s="0">
        <f>UPPER(LEFT(D244,1)&amp;MID(D244,FIND(" ",D244)+1,1))</f>
        <v/>
      </c>
      <c r="R244" s="44">
        <f>N244*90%</f>
        <v/>
      </c>
      <c r="S244" s="18">
        <f>NOW()</f>
        <v/>
      </c>
    </row>
    <row r="245" ht="15.75" customHeight="1" s="8">
      <c r="A245" s="5" t="inlineStr">
        <is>
          <t>TRX0068</t>
        </is>
      </c>
      <c r="B245" s="29" t="n">
        <v>45748</v>
      </c>
      <c r="C245" s="5" t="inlineStr">
        <is>
          <t>CUST044</t>
        </is>
      </c>
      <c r="D245" s="5" t="inlineStr">
        <is>
          <t>Cynthia Price</t>
        </is>
      </c>
      <c r="E245" s="5" t="inlineStr">
        <is>
          <t>P002</t>
        </is>
      </c>
      <c r="F245" s="5" t="inlineStr">
        <is>
          <t>Smartphone</t>
        </is>
      </c>
      <c r="G245" s="5" t="inlineStr">
        <is>
          <t>Electronics</t>
        </is>
      </c>
      <c r="H245" s="5" t="n">
        <v>2</v>
      </c>
      <c r="I245" s="42" t="n">
        <v>699.99</v>
      </c>
      <c r="J245" s="5" t="inlineStr">
        <is>
          <t>PayPal</t>
        </is>
      </c>
      <c r="K245" s="5" t="inlineStr">
        <is>
          <t>North</t>
        </is>
      </c>
      <c r="L245" s="5" t="inlineStr">
        <is>
          <t>Standard</t>
        </is>
      </c>
      <c r="M245" s="29" t="n">
        <v>44618</v>
      </c>
      <c r="N245" s="42" t="n">
        <v>1399.98</v>
      </c>
      <c r="O245" s="0">
        <f>TEXT(B245,"yyyy-mm")</f>
        <v/>
      </c>
      <c r="P245" s="43">
        <f>DATEDIF(M245,TODAY(),"Y")</f>
        <v/>
      </c>
      <c r="Q245" s="0">
        <f>UPPER(LEFT(D245,1)&amp;MID(D245,FIND(" ",D245)+1,1))</f>
        <v/>
      </c>
      <c r="R245" s="44">
        <f>N245*90%</f>
        <v/>
      </c>
      <c r="S245" s="18">
        <f>NOW()</f>
        <v/>
      </c>
    </row>
    <row r="246" ht="15.75" customHeight="1" s="8">
      <c r="A246" s="5" t="inlineStr">
        <is>
          <t>TRX0144</t>
        </is>
      </c>
      <c r="B246" s="29" t="n">
        <v>45749</v>
      </c>
      <c r="C246" s="5" t="inlineStr">
        <is>
          <t>CUST029</t>
        </is>
      </c>
      <c r="D246" s="5" t="inlineStr">
        <is>
          <t>Edward Mitchell</t>
        </is>
      </c>
      <c r="E246" s="5" t="inlineStr">
        <is>
          <t>P001</t>
        </is>
      </c>
      <c r="F246" s="5" t="inlineStr">
        <is>
          <t>Laptop</t>
        </is>
      </c>
      <c r="G246" s="5" t="inlineStr">
        <is>
          <t>Electronics</t>
        </is>
      </c>
      <c r="H246" s="5" t="n">
        <v>3</v>
      </c>
      <c r="I246" s="42" t="n">
        <v>899.99</v>
      </c>
      <c r="J246" s="5" t="inlineStr">
        <is>
          <t>Cash</t>
        </is>
      </c>
      <c r="K246" s="5" t="inlineStr">
        <is>
          <t>Central</t>
        </is>
      </c>
      <c r="L246" s="5" t="inlineStr">
        <is>
          <t>Standard</t>
        </is>
      </c>
      <c r="M246" s="29" t="n">
        <v>44953</v>
      </c>
      <c r="N246" s="42" t="n">
        <v>2699.97</v>
      </c>
      <c r="O246" s="0">
        <f>TEXT(B246,"yyyy-mm")</f>
        <v/>
      </c>
      <c r="P246" s="43">
        <f>DATEDIF(M246,TODAY(),"Y")</f>
        <v/>
      </c>
      <c r="Q246" s="0">
        <f>UPPER(LEFT(D246,1)&amp;MID(D246,FIND(" ",D246)+1,1))</f>
        <v/>
      </c>
      <c r="R246" s="44">
        <f>N246*90%</f>
        <v/>
      </c>
      <c r="S246" s="18">
        <f>NOW()</f>
        <v/>
      </c>
    </row>
    <row r="247" ht="15.75" customHeight="1" s="8">
      <c r="A247" s="5" t="inlineStr">
        <is>
          <t>TRX0039</t>
        </is>
      </c>
      <c r="B247" s="29" t="n">
        <v>45755</v>
      </c>
      <c r="C247" s="5" t="inlineStr">
        <is>
          <t>CUST048</t>
        </is>
      </c>
      <c r="D247" s="5" t="inlineStr">
        <is>
          <t>Virginia Sanders</t>
        </is>
      </c>
      <c r="E247" s="5" t="inlineStr">
        <is>
          <t>P004</t>
        </is>
      </c>
      <c r="F247" s="5" t="inlineStr">
        <is>
          <t>Coffee Maker</t>
        </is>
      </c>
      <c r="G247" s="5" t="inlineStr">
        <is>
          <t>Appliances</t>
        </is>
      </c>
      <c r="H247" s="5" t="n">
        <v>3</v>
      </c>
      <c r="I247" s="42" t="n">
        <v>79.98999999999999</v>
      </c>
      <c r="J247" s="5" t="inlineStr">
        <is>
          <t>Credit Card</t>
        </is>
      </c>
      <c r="K247" s="5" t="inlineStr">
        <is>
          <t>North</t>
        </is>
      </c>
      <c r="L247" s="5" t="inlineStr">
        <is>
          <t>Basic</t>
        </is>
      </c>
      <c r="M247" s="29" t="n">
        <v>44511</v>
      </c>
      <c r="N247" s="42" t="n">
        <v>239.97</v>
      </c>
      <c r="O247" s="0">
        <f>TEXT(B247,"yyyy-mm")</f>
        <v/>
      </c>
      <c r="P247" s="43">
        <f>DATEDIF(M247,TODAY(),"Y")</f>
        <v/>
      </c>
      <c r="Q247" s="0">
        <f>UPPER(LEFT(D247,1)&amp;MID(D247,FIND(" ",D247)+1,1))</f>
        <v/>
      </c>
      <c r="R247" s="44">
        <f>N247*90%</f>
        <v/>
      </c>
      <c r="S247" s="18">
        <f>NOW()</f>
        <v/>
      </c>
    </row>
    <row r="248" ht="15.75" customHeight="1" s="8">
      <c r="A248" s="5" t="inlineStr">
        <is>
          <t>TRX0116</t>
        </is>
      </c>
      <c r="B248" s="29" t="n">
        <v>45756</v>
      </c>
      <c r="C248" s="5" t="inlineStr">
        <is>
          <t>CUST009</t>
        </is>
      </c>
      <c r="D248" s="5" t="inlineStr">
        <is>
          <t>Robert Thomas</t>
        </is>
      </c>
      <c r="E248" s="5" t="inlineStr">
        <is>
          <t>P010</t>
        </is>
      </c>
      <c r="F248" s="5" t="inlineStr">
        <is>
          <t>Keyboard</t>
        </is>
      </c>
      <c r="G248" s="5" t="inlineStr">
        <is>
          <t>Electronics</t>
        </is>
      </c>
      <c r="H248" s="5" t="n">
        <v>1</v>
      </c>
      <c r="I248" s="42" t="n">
        <v>89.98999999999999</v>
      </c>
      <c r="J248" s="5" t="inlineStr">
        <is>
          <t>Debit Card</t>
        </is>
      </c>
      <c r="K248" s="5" t="inlineStr">
        <is>
          <t>East</t>
        </is>
      </c>
      <c r="L248" s="5" t="inlineStr">
        <is>
          <t>Basic</t>
        </is>
      </c>
      <c r="M248" s="29" t="n">
        <v>45346</v>
      </c>
      <c r="N248" s="42" t="n">
        <v>89.98999999999999</v>
      </c>
      <c r="O248" s="0">
        <f>TEXT(B248,"yyyy-mm")</f>
        <v/>
      </c>
      <c r="P248" s="43">
        <f>DATEDIF(M248,TODAY(),"Y")</f>
        <v/>
      </c>
      <c r="Q248" s="0">
        <f>UPPER(LEFT(D248,1)&amp;MID(D248,FIND(" ",D248)+1,1))</f>
        <v/>
      </c>
      <c r="R248" s="44">
        <f>N248*90%</f>
        <v/>
      </c>
      <c r="S248" s="18">
        <f>NOW()</f>
        <v/>
      </c>
    </row>
    <row r="249" ht="15.75" customHeight="1" s="8">
      <c r="A249" s="5" t="inlineStr">
        <is>
          <t>TRX0120</t>
        </is>
      </c>
      <c r="B249" s="29" t="n">
        <v>45758</v>
      </c>
      <c r="C249" s="5" t="inlineStr">
        <is>
          <t>CUST045</t>
        </is>
      </c>
      <c r="D249" s="5" t="inlineStr">
        <is>
          <t>Douglas Watson</t>
        </is>
      </c>
      <c r="E249" s="5" t="inlineStr">
        <is>
          <t>P002</t>
        </is>
      </c>
      <c r="F249" s="5" t="inlineStr">
        <is>
          <t>Smartphone</t>
        </is>
      </c>
      <c r="G249" s="5" t="inlineStr">
        <is>
          <t>Electronics</t>
        </is>
      </c>
      <c r="H249" s="5" t="n">
        <v>3</v>
      </c>
      <c r="I249" s="42" t="n">
        <v>699.99</v>
      </c>
      <c r="J249" s="5" t="inlineStr">
        <is>
          <t>PayPal</t>
        </is>
      </c>
      <c r="K249" s="5" t="inlineStr">
        <is>
          <t>North</t>
        </is>
      </c>
      <c r="L249" s="5" t="inlineStr">
        <is>
          <t>Basic</t>
        </is>
      </c>
      <c r="M249" s="29" t="n">
        <v>44909</v>
      </c>
      <c r="N249" s="42" t="n">
        <v>2099.97</v>
      </c>
      <c r="O249" s="0">
        <f>TEXT(B249,"yyyy-mm")</f>
        <v/>
      </c>
      <c r="P249" s="43">
        <f>DATEDIF(M249,TODAY(),"Y")</f>
        <v/>
      </c>
      <c r="Q249" s="0">
        <f>UPPER(LEFT(D249,1)&amp;MID(D249,FIND(" ",D249)+1,1))</f>
        <v/>
      </c>
      <c r="R249" s="44">
        <f>N249*90%</f>
        <v/>
      </c>
      <c r="S249" s="18">
        <f>NOW()</f>
        <v/>
      </c>
    </row>
    <row r="250" ht="15.75" customHeight="1" s="8">
      <c r="A250" s="5" t="inlineStr">
        <is>
          <t>TRX0103</t>
        </is>
      </c>
      <c r="B250" s="29" t="n">
        <v>45758</v>
      </c>
      <c r="C250" s="5" t="inlineStr">
        <is>
          <t>CUST039</t>
        </is>
      </c>
      <c r="D250" s="5" t="inlineStr">
        <is>
          <t>Lawrence Reed</t>
        </is>
      </c>
      <c r="E250" s="5" t="inlineStr">
        <is>
          <t>P010</t>
        </is>
      </c>
      <c r="F250" s="5" t="inlineStr">
        <is>
          <t>Keyboard</t>
        </is>
      </c>
      <c r="G250" s="5" t="inlineStr">
        <is>
          <t>Electronics</t>
        </is>
      </c>
      <c r="H250" s="5" t="n">
        <v>2</v>
      </c>
      <c r="I250" s="42" t="n">
        <v>89.98999999999999</v>
      </c>
      <c r="J250" s="5" t="inlineStr">
        <is>
          <t>Debit Card</t>
        </is>
      </c>
      <c r="K250" s="5" t="inlineStr">
        <is>
          <t>East</t>
        </is>
      </c>
      <c r="L250" s="5" t="inlineStr">
        <is>
          <t>Basic</t>
        </is>
      </c>
      <c r="M250" s="29" t="n">
        <v>45088</v>
      </c>
      <c r="N250" s="42" t="n">
        <v>179.98</v>
      </c>
      <c r="O250" s="0">
        <f>TEXT(B250,"yyyy-mm")</f>
        <v/>
      </c>
      <c r="P250" s="43">
        <f>DATEDIF(M250,TODAY(),"Y")</f>
        <v/>
      </c>
      <c r="Q250" s="0">
        <f>UPPER(LEFT(D250,1)&amp;MID(D250,FIND(" ",D250)+1,1))</f>
        <v/>
      </c>
      <c r="R250" s="44">
        <f>N250*90%</f>
        <v/>
      </c>
      <c r="S250" s="18">
        <f>NOW()</f>
        <v/>
      </c>
    </row>
    <row r="251" ht="15.75" customHeight="1" s="8">
      <c r="A251" s="5" t="inlineStr">
        <is>
          <t>TRX0064</t>
        </is>
      </c>
      <c r="B251" s="29" t="n">
        <v>45758</v>
      </c>
      <c r="C251" s="5" t="inlineStr">
        <is>
          <t>CUST031</t>
        </is>
      </c>
      <c r="D251" s="5" t="inlineStr">
        <is>
          <t>Steven Turner</t>
        </is>
      </c>
      <c r="E251" s="5" t="inlineStr">
        <is>
          <t>P010</t>
        </is>
      </c>
      <c r="F251" s="5" t="inlineStr">
        <is>
          <t>Keyboard</t>
        </is>
      </c>
      <c r="G251" s="5" t="inlineStr">
        <is>
          <t>Electronics</t>
        </is>
      </c>
      <c r="H251" s="5" t="n">
        <v>3</v>
      </c>
      <c r="I251" s="42" t="n">
        <v>89.98999999999999</v>
      </c>
      <c r="J251" s="5" t="inlineStr">
        <is>
          <t>Debit Card</t>
        </is>
      </c>
      <c r="K251" s="5" t="inlineStr">
        <is>
          <t>North</t>
        </is>
      </c>
      <c r="L251" s="5" t="inlineStr">
        <is>
          <t>Premium</t>
        </is>
      </c>
      <c r="M251" s="29" t="n">
        <v>44878</v>
      </c>
      <c r="N251" s="42" t="n">
        <v>269.97</v>
      </c>
      <c r="O251" s="0">
        <f>TEXT(B251,"yyyy-mm")</f>
        <v/>
      </c>
      <c r="P251" s="43">
        <f>DATEDIF(M251,TODAY(),"Y")</f>
        <v/>
      </c>
      <c r="Q251" s="0">
        <f>UPPER(LEFT(D251,1)&amp;MID(D251,FIND(" ",D251)+1,1))</f>
        <v/>
      </c>
      <c r="R251" s="44">
        <f>N251*90%</f>
        <v/>
      </c>
      <c r="S251" s="18">
        <f>NOW()</f>
        <v/>
      </c>
    </row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A1:S251"/>
  <pageMargins left="0.75" right="0.75" top="1" bottom="1" header="0" footer="0"/>
  <pageSetup orientation="landscape" fitToHeight="0" fitToWidth="1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10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8" min="1" max="1"/>
    <col width="28" customWidth="1" style="8" min="2" max="2"/>
    <col width="16" customWidth="1" style="8" min="3" max="3"/>
    <col width="28" customWidth="1" style="8" min="4" max="4"/>
    <col width="23" customWidth="1" style="8" min="5" max="5"/>
    <col width="28" customWidth="1" style="8" min="6" max="6"/>
    <col width="22" customWidth="1" style="8" min="7" max="7"/>
    <col width="20" customWidth="1" style="8" min="8" max="8"/>
    <col width="24" customWidth="1" style="8" min="9" max="9"/>
    <col width="18" customWidth="1" style="8" min="10" max="10"/>
  </cols>
  <sheetData>
    <row r="1" ht="34" customHeight="1" s="8">
      <c r="A1" s="33" t="inlineStr">
        <is>
          <t>DATA INTELLIGENCE | ANALYSIS</t>
        </is>
      </c>
    </row>
    <row r="2">
      <c r="A2" s="45" t="inlineStr">
        <is>
          <t>Formula-driven summaries based on the Raw Data transaction table. Currency is shown in USD.</t>
        </is>
      </c>
    </row>
    <row r="4" ht="30" customHeight="1" s="8">
      <c r="A4" s="46" t="inlineStr">
        <is>
          <t>KEY METRICS</t>
        </is>
      </c>
      <c r="B4" s="46" t="n"/>
      <c r="C4" s="46" t="n"/>
      <c r="D4" s="46" t="n"/>
    </row>
    <row r="5">
      <c r="A5" s="47" t="inlineStr">
        <is>
          <t>Total Revenue</t>
        </is>
      </c>
      <c r="B5" s="48">
        <f>SUM('Raw Data'!$N$2:$N$251)</f>
        <v/>
      </c>
    </row>
    <row r="6">
      <c r="A6" s="47" t="inlineStr">
        <is>
          <t>Transactions</t>
        </is>
      </c>
      <c r="B6" s="49">
        <f>COUNTA('Raw Data'!$A$2:$A$251)</f>
        <v/>
      </c>
    </row>
    <row r="7">
      <c r="A7" s="47" t="inlineStr">
        <is>
          <t>Units Sold</t>
        </is>
      </c>
      <c r="B7" s="49">
        <f>SUM('Raw Data'!$H$2:$H$251)</f>
        <v/>
      </c>
    </row>
    <row r="8">
      <c r="A8" s="47" t="inlineStr">
        <is>
          <t>Unique Customers</t>
        </is>
      </c>
      <c r="B8" s="49">
        <f>SUMPRODUCT(('Raw Data'!$C$2:$C$251&lt;&gt;'')/COUNTIF('Raw Data'!$C$2:$C$251,'Raw Data'!$C$2:$C$251&amp;''))</f>
        <v/>
      </c>
    </row>
    <row r="9">
      <c r="A9" s="47" t="inlineStr">
        <is>
          <t>Average Transaction Value</t>
        </is>
      </c>
      <c r="B9" s="48">
        <f>AVERAGE('Raw Data'!$N$2:$N$251)</f>
        <v/>
      </c>
    </row>
    <row r="10">
      <c r="A10" s="47" t="inlineStr">
        <is>
          <t>Average Unit Price</t>
        </is>
      </c>
      <c r="B10" s="48">
        <f>AVERAGE('Raw Data'!$I$2:$I$251)</f>
        <v/>
      </c>
    </row>
    <row r="13" ht="30" customHeight="1" s="8">
      <c r="A13" s="46" t="inlineStr">
        <is>
          <t>MONTHLY REVENUE TREND</t>
        </is>
      </c>
      <c r="B13" s="46" t="n"/>
      <c r="C13" s="46" t="n"/>
      <c r="E13" s="46" t="inlineStr">
        <is>
          <t>PRODUCT PERFORMANCE</t>
        </is>
      </c>
      <c r="F13" s="46" t="n"/>
      <c r="G13" s="46" t="n"/>
      <c r="H13" s="46" t="n"/>
    </row>
    <row r="14" ht="30" customHeight="1" s="8">
      <c r="A14" s="75" t="inlineStr">
        <is>
          <t>Month</t>
        </is>
      </c>
      <c r="B14" s="50" t="inlineStr">
        <is>
          <t>Revenue</t>
        </is>
      </c>
      <c r="C14" s="50" t="inlineStr">
        <is>
          <t>Transactions</t>
        </is>
      </c>
      <c r="E14" s="50" t="inlineStr">
        <is>
          <t>Product</t>
        </is>
      </c>
      <c r="F14" s="50" t="inlineStr">
        <is>
          <t>Units Sold</t>
        </is>
      </c>
      <c r="G14" s="50" t="inlineStr">
        <is>
          <t>Revenue</t>
        </is>
      </c>
      <c r="H14" s="50" t="inlineStr">
        <is>
          <t>Transactions</t>
        </is>
      </c>
    </row>
    <row r="15">
      <c r="A15" s="66" t="n">
        <v>45383</v>
      </c>
      <c r="B15" s="52" t="n">
        <v>20919.33</v>
      </c>
      <c r="C15" s="14" t="n">
        <v>21</v>
      </c>
      <c r="E15" s="14" t="inlineStr">
        <is>
          <t>Blender</t>
        </is>
      </c>
      <c r="F15" s="14" t="n">
        <v>87</v>
      </c>
      <c r="G15" s="52" t="n">
        <v>5219.129999999997</v>
      </c>
      <c r="H15" s="14" t="n">
        <v>29</v>
      </c>
    </row>
    <row r="16">
      <c r="A16" s="67" t="n">
        <v>45413</v>
      </c>
      <c r="B16" s="54" t="n">
        <v>17039.35</v>
      </c>
      <c r="C16" s="39" t="n">
        <v>19</v>
      </c>
      <c r="E16" s="39" t="inlineStr">
        <is>
          <t>Bookshelf</t>
        </is>
      </c>
      <c r="F16" s="39" t="n">
        <v>102</v>
      </c>
      <c r="G16" s="54" t="n">
        <v>15298.97999999999</v>
      </c>
      <c r="H16" s="39" t="n">
        <v>35</v>
      </c>
    </row>
    <row r="17">
      <c r="A17" s="66" t="n">
        <v>45444</v>
      </c>
      <c r="B17" s="52" t="n">
        <v>19299.45</v>
      </c>
      <c r="C17" s="14" t="n">
        <v>19</v>
      </c>
      <c r="E17" s="14" t="inlineStr">
        <is>
          <t>Coffee Maker</t>
        </is>
      </c>
      <c r="F17" s="14" t="n">
        <v>39</v>
      </c>
      <c r="G17" s="52" t="n">
        <v>3119.609999999999</v>
      </c>
      <c r="H17" s="14" t="n">
        <v>14</v>
      </c>
    </row>
    <row r="18">
      <c r="A18" s="67" t="n">
        <v>45474</v>
      </c>
      <c r="B18" s="54" t="n">
        <v>18479.39999999999</v>
      </c>
      <c r="C18" s="39" t="n">
        <v>24</v>
      </c>
      <c r="E18" s="39" t="inlineStr">
        <is>
          <t>Desk</t>
        </is>
      </c>
      <c r="F18" s="39" t="n">
        <v>78</v>
      </c>
      <c r="G18" s="54" t="n">
        <v>23399.22</v>
      </c>
      <c r="H18" s="39" t="n">
        <v>26</v>
      </c>
    </row>
    <row r="19">
      <c r="A19" s="66" t="n">
        <v>45505</v>
      </c>
      <c r="B19" s="52" t="n">
        <v>15759.43</v>
      </c>
      <c r="C19" s="14" t="n">
        <v>18</v>
      </c>
      <c r="E19" s="14" t="inlineStr">
        <is>
          <t>Headphones</t>
        </is>
      </c>
      <c r="F19" s="14" t="n">
        <v>47</v>
      </c>
      <c r="G19" s="52" t="n">
        <v>7049.529999999999</v>
      </c>
      <c r="H19" s="14" t="n">
        <v>16</v>
      </c>
    </row>
    <row r="20">
      <c r="A20" s="67" t="n">
        <v>45536</v>
      </c>
      <c r="B20" s="54" t="n">
        <v>12989.51</v>
      </c>
      <c r="C20" s="39" t="n">
        <v>19</v>
      </c>
      <c r="E20" s="39" t="inlineStr">
        <is>
          <t>Keyboard</t>
        </is>
      </c>
      <c r="F20" s="39" t="n">
        <v>89</v>
      </c>
      <c r="G20" s="54" t="n">
        <v>8009.109999999997</v>
      </c>
      <c r="H20" s="39" t="n">
        <v>34</v>
      </c>
    </row>
    <row r="21">
      <c r="A21" s="66" t="n">
        <v>45566</v>
      </c>
      <c r="B21" s="52" t="n">
        <v>20609.52</v>
      </c>
      <c r="C21" s="14" t="n">
        <v>16</v>
      </c>
      <c r="E21" s="14" t="inlineStr">
        <is>
          <t>Laptop</t>
        </is>
      </c>
      <c r="F21" s="14" t="n">
        <v>75</v>
      </c>
      <c r="G21" s="52" t="n">
        <v>67499.25</v>
      </c>
      <c r="H21" s="14" t="n">
        <v>24</v>
      </c>
    </row>
    <row r="22">
      <c r="A22" s="67" t="n">
        <v>45597</v>
      </c>
      <c r="B22" s="54" t="n">
        <v>12309.44</v>
      </c>
      <c r="C22" s="39" t="n">
        <v>17</v>
      </c>
      <c r="E22" s="39" t="inlineStr">
        <is>
          <t>Monitor</t>
        </is>
      </c>
      <c r="F22" s="39" t="n">
        <v>88</v>
      </c>
      <c r="G22" s="54" t="n">
        <v>21999.12</v>
      </c>
      <c r="H22" s="39" t="n">
        <v>26</v>
      </c>
    </row>
    <row r="23">
      <c r="A23" s="66" t="n">
        <v>45627</v>
      </c>
      <c r="B23" s="52" t="n">
        <v>23039.3</v>
      </c>
      <c r="C23" s="14" t="n">
        <v>25</v>
      </c>
      <c r="E23" s="14" t="inlineStr">
        <is>
          <t>Office Chair</t>
        </is>
      </c>
      <c r="F23" s="14" t="n">
        <v>52</v>
      </c>
      <c r="G23" s="52" t="n">
        <v>10399.48</v>
      </c>
      <c r="H23" s="14" t="n">
        <v>15</v>
      </c>
    </row>
    <row r="24">
      <c r="A24" s="67" t="n">
        <v>45658</v>
      </c>
      <c r="B24" s="54" t="n">
        <v>25799.15</v>
      </c>
      <c r="C24" s="39" t="n">
        <v>26</v>
      </c>
      <c r="E24" s="0" t="inlineStr">
        <is>
          <t>Smartphone</t>
        </is>
      </c>
      <c r="F24" s="0" t="n">
        <v>96</v>
      </c>
      <c r="G24" s="44" t="n">
        <v>67199.03999999999</v>
      </c>
      <c r="H24" s="0" t="n">
        <v>31</v>
      </c>
    </row>
    <row r="25">
      <c r="A25" s="66" t="n">
        <v>45689</v>
      </c>
      <c r="B25" s="52" t="n">
        <v>16069.38</v>
      </c>
      <c r="C25" s="14" t="n">
        <v>20</v>
      </c>
    </row>
    <row r="26">
      <c r="A26" s="67" t="n">
        <v>45717</v>
      </c>
      <c r="B26" s="54" t="n">
        <v>19899.38</v>
      </c>
      <c r="C26" s="39" t="n">
        <v>19</v>
      </c>
    </row>
    <row r="27">
      <c r="A27" s="66" t="n">
        <v>45748</v>
      </c>
      <c r="B27" s="52" t="n">
        <v>6979.829999999999</v>
      </c>
      <c r="C27" s="14" t="n">
        <v>7</v>
      </c>
    </row>
    <row r="31" ht="30" customHeight="1" s="8">
      <c r="A31" s="46" t="inlineStr">
        <is>
          <t>REGIONAL PERFORMANCE</t>
        </is>
      </c>
      <c r="B31" s="46" t="n"/>
      <c r="C31" s="46" t="n"/>
      <c r="E31" s="46" t="inlineStr">
        <is>
          <t>CATEGORY PERFORMANCE</t>
        </is>
      </c>
      <c r="F31" s="46" t="n"/>
      <c r="G31" s="46" t="n"/>
      <c r="H31" s="46" t="inlineStr">
        <is>
          <t>TOP 10 CUSTOMERS</t>
        </is>
      </c>
      <c r="I31" s="46" t="n"/>
      <c r="J31" s="46" t="n"/>
    </row>
    <row r="32" ht="30" customHeight="1" s="8">
      <c r="A32" s="50" t="inlineStr">
        <is>
          <t>Region</t>
        </is>
      </c>
      <c r="B32" s="50" t="inlineStr">
        <is>
          <t>Revenue</t>
        </is>
      </c>
      <c r="C32" s="50" t="inlineStr">
        <is>
          <t>Revenue Share</t>
        </is>
      </c>
      <c r="E32" s="50" t="inlineStr">
        <is>
          <t>Category</t>
        </is>
      </c>
      <c r="F32" s="50" t="inlineStr">
        <is>
          <t>Revenue</t>
        </is>
      </c>
      <c r="G32" s="50" t="inlineStr">
        <is>
          <t>Units Sold</t>
        </is>
      </c>
      <c r="H32" s="50" t="inlineStr">
        <is>
          <t>Customer ID</t>
        </is>
      </c>
      <c r="I32" s="50" t="inlineStr">
        <is>
          <t>Customer Name</t>
        </is>
      </c>
      <c r="J32" s="50" t="inlineStr">
        <is>
          <t>Revenue</t>
        </is>
      </c>
    </row>
    <row r="33">
      <c r="A33" s="14" t="inlineStr">
        <is>
          <t>Central</t>
        </is>
      </c>
      <c r="B33" s="52" t="n">
        <v>41288.34000000002</v>
      </c>
      <c r="C33" s="55" t="n">
        <v>0.1801470179190443</v>
      </c>
      <c r="E33" s="14" t="inlineStr">
        <is>
          <t>Appliances</t>
        </is>
      </c>
      <c r="F33" s="52" t="n">
        <v>8338.739999999996</v>
      </c>
      <c r="G33" s="14" t="n">
        <v>126</v>
      </c>
      <c r="H33" s="14" t="inlineStr">
        <is>
          <t>CUST025</t>
        </is>
      </c>
      <c r="I33" s="14" t="inlineStr">
        <is>
          <t>Mark Carter</t>
        </is>
      </c>
      <c r="J33" s="52" t="n">
        <v>15659.65</v>
      </c>
    </row>
    <row r="34">
      <c r="A34" s="39" t="inlineStr">
        <is>
          <t>East</t>
        </is>
      </c>
      <c r="B34" s="54" t="n">
        <v>59288.38999999999</v>
      </c>
      <c r="C34" s="56" t="n">
        <v>0.2586838476848737</v>
      </c>
      <c r="E34" s="39" t="inlineStr">
        <is>
          <t>Electronics</t>
        </is>
      </c>
      <c r="F34" s="54" t="n">
        <v>171756.0500000001</v>
      </c>
      <c r="G34" s="39" t="n">
        <v>395</v>
      </c>
      <c r="H34" s="39" t="inlineStr">
        <is>
          <t>CUST029</t>
        </is>
      </c>
      <c r="I34" s="39" t="inlineStr">
        <is>
          <t>Edward Mitchell</t>
        </is>
      </c>
      <c r="J34" s="54" t="n">
        <v>11919.77</v>
      </c>
    </row>
    <row r="35">
      <c r="A35" s="14" t="inlineStr">
        <is>
          <t>North</t>
        </is>
      </c>
      <c r="B35" s="52" t="n">
        <v>50808.31000000001</v>
      </c>
      <c r="C35" s="55" t="n">
        <v>0.2216840282754491</v>
      </c>
      <c r="E35" s="14" t="inlineStr">
        <is>
          <t>Furniture</t>
        </is>
      </c>
      <c r="F35" s="52" t="n">
        <v>49097.68000000001</v>
      </c>
      <c r="G35" s="14" t="n">
        <v>232</v>
      </c>
      <c r="H35" s="14" t="inlineStr">
        <is>
          <t>CUST018</t>
        </is>
      </c>
      <c r="I35" s="14" t="inlineStr">
        <is>
          <t>Barbara Young</t>
        </is>
      </c>
      <c r="J35" s="52" t="n">
        <v>10649.8</v>
      </c>
    </row>
    <row r="36">
      <c r="A36" s="39" t="inlineStr">
        <is>
          <t>South</t>
        </is>
      </c>
      <c r="B36" s="54" t="n">
        <v>36398.75000000001</v>
      </c>
      <c r="C36" s="56" t="n">
        <v>0.1588130273215346</v>
      </c>
      <c r="H36" s="39" t="inlineStr">
        <is>
          <t>CUST012</t>
        </is>
      </c>
      <c r="I36" s="39" t="inlineStr">
        <is>
          <t>Patricia Moore</t>
        </is>
      </c>
      <c r="J36" s="54" t="n">
        <v>9799.73</v>
      </c>
    </row>
    <row r="37">
      <c r="A37" s="14" t="inlineStr">
        <is>
          <t>West</t>
        </is>
      </c>
      <c r="B37" s="52" t="n">
        <v>41408.68000000001</v>
      </c>
      <c r="C37" s="55" t="n">
        <v>0.1806720787990985</v>
      </c>
      <c r="H37" s="14" t="inlineStr">
        <is>
          <t>CUST023</t>
        </is>
      </c>
      <c r="I37" s="14" t="inlineStr">
        <is>
          <t>Paul Baker</t>
        </is>
      </c>
      <c r="J37" s="52" t="n">
        <v>8309.739999999998</v>
      </c>
    </row>
    <row r="38">
      <c r="H38" s="39" t="inlineStr">
        <is>
          <t>CUST024</t>
        </is>
      </c>
      <c r="I38" s="39" t="inlineStr">
        <is>
          <t>Dorothy Nelson</t>
        </is>
      </c>
      <c r="J38" s="54" t="n">
        <v>8269.790000000001</v>
      </c>
    </row>
    <row r="39">
      <c r="H39" s="14" t="inlineStr">
        <is>
          <t>CUST026</t>
        </is>
      </c>
      <c r="I39" s="14" t="inlineStr">
        <is>
          <t>Karen Hill</t>
        </is>
      </c>
      <c r="J39" s="52" t="n">
        <v>8009.77</v>
      </c>
    </row>
    <row r="40">
      <c r="H40" s="39" t="inlineStr">
        <is>
          <t>CUST019</t>
        </is>
      </c>
      <c r="I40" s="39" t="inlineStr">
        <is>
          <t>Daniel King</t>
        </is>
      </c>
      <c r="J40" s="54" t="n">
        <v>7309.799999999999</v>
      </c>
    </row>
    <row r="41">
      <c r="H41" s="14" t="inlineStr">
        <is>
          <t>CUST039</t>
        </is>
      </c>
      <c r="I41" s="14" t="inlineStr">
        <is>
          <t>Lawrence Reed</t>
        </is>
      </c>
      <c r="J41" s="52" t="n">
        <v>6989.769999999999</v>
      </c>
    </row>
    <row r="42" ht="30" customHeight="1" s="8">
      <c r="A42" s="46" t="inlineStr">
        <is>
          <t>CUSTOMER VALUE &amp; FREQUENCY</t>
        </is>
      </c>
      <c r="B42" s="46" t="n"/>
      <c r="C42" s="46" t="n"/>
      <c r="D42" s="46" t="n"/>
      <c r="E42" s="46" t="n"/>
      <c r="F42" s="46" t="n"/>
      <c r="H42" s="39" t="inlineStr">
        <is>
          <t>CUST013</t>
        </is>
      </c>
      <c r="I42" s="39" t="inlineStr">
        <is>
          <t>Joseph Jackson</t>
        </is>
      </c>
      <c r="J42" s="54" t="n">
        <v>6949.84</v>
      </c>
    </row>
    <row r="43" ht="30" customHeight="1" s="8">
      <c r="A43" s="57" t="inlineStr">
        <is>
          <t>Customer ID</t>
        </is>
      </c>
      <c r="B43" s="57" t="inlineStr">
        <is>
          <t>Customer Name</t>
        </is>
      </c>
      <c r="C43" s="57" t="inlineStr">
        <is>
          <t>Transactions</t>
        </is>
      </c>
      <c r="D43" s="57" t="inlineStr">
        <is>
          <t>Units</t>
        </is>
      </c>
      <c r="E43" s="57" t="inlineStr">
        <is>
          <t>Lifetime Revenue</t>
        </is>
      </c>
      <c r="F43" s="57" t="inlineStr">
        <is>
          <t>Buyer Type</t>
        </is>
      </c>
    </row>
    <row r="44">
      <c r="A44" s="39" t="inlineStr">
        <is>
          <t>CUST001</t>
        </is>
      </c>
      <c r="B44" s="39" t="inlineStr">
        <is>
          <t>John Smith</t>
        </is>
      </c>
      <c r="C44" s="39">
        <f>COUNTIF('Raw Data'!$C$2:$C$251,A44)</f>
        <v/>
      </c>
      <c r="D44" s="39">
        <f>SUMIF('Raw Data'!$C$2:$C$251,A44,'Raw Data'!$H$2:$H$251)</f>
        <v/>
      </c>
      <c r="E44" s="54">
        <f>SUMIF('Raw Data'!$C$2:$C$251,A44,'Raw Data'!$N$2:$N$251)</f>
        <v/>
      </c>
      <c r="F44" s="39">
        <f>IF(C44&gt;1,"Repeat buyer","One-time buyer")</f>
        <v/>
      </c>
    </row>
    <row r="45" ht="30" customHeight="1" s="8">
      <c r="A45" s="14" t="inlineStr">
        <is>
          <t>CUST002</t>
        </is>
      </c>
      <c r="B45" s="14" t="inlineStr">
        <is>
          <t>Emma Wilson</t>
        </is>
      </c>
      <c r="C45" s="14">
        <f>COUNTIF('Raw Data'!$C$2:$C$251,A45)</f>
        <v/>
      </c>
      <c r="D45" s="14">
        <f>SUMIF('Raw Data'!$C$2:$C$251,A45,'Raw Data'!$H$2:$H$251)</f>
        <v/>
      </c>
      <c r="E45" s="52">
        <f>SUMIF('Raw Data'!$C$2:$C$251,A45,'Raw Data'!$N$2:$N$251)</f>
        <v/>
      </c>
      <c r="F45" s="14">
        <f>IF(C45&gt;1,"Repeat buyer","One-time buyer")</f>
        <v/>
      </c>
      <c r="H45" s="46" t="inlineStr">
        <is>
          <t>LIST COMPARISON</t>
        </is>
      </c>
      <c r="I45" s="46" t="n"/>
      <c r="J45" s="46" t="n"/>
    </row>
    <row r="46" ht="30" customHeight="1" s="8">
      <c r="A46" s="39" t="inlineStr">
        <is>
          <t>CUST003</t>
        </is>
      </c>
      <c r="B46" s="39" t="inlineStr">
        <is>
          <t>Michael Brown</t>
        </is>
      </c>
      <c r="C46" s="39">
        <f>COUNTIF('Raw Data'!$C$2:$C$251,A46)</f>
        <v/>
      </c>
      <c r="D46" s="39">
        <f>SUMIF('Raw Data'!$C$2:$C$251,A46,'Raw Data'!$H$2:$H$251)</f>
        <v/>
      </c>
      <c r="E46" s="54">
        <f>SUMIF('Raw Data'!$C$2:$C$251,A46,'Raw Data'!$N$2:$N$251)</f>
        <v/>
      </c>
      <c r="F46" s="39">
        <f>IF(C46&gt;1,"Repeat buyer","One-time buyer")</f>
        <v/>
      </c>
      <c r="H46" s="50" t="inlineStr">
        <is>
          <t>List A name</t>
        </is>
      </c>
      <c r="I46" s="50" t="inlineStr">
        <is>
          <t>List B name</t>
        </is>
      </c>
      <c r="J46" s="50" t="inlineStr">
        <is>
          <t>Match</t>
        </is>
      </c>
    </row>
    <row r="47">
      <c r="A47" s="14" t="inlineStr">
        <is>
          <t>CUST004</t>
        </is>
      </c>
      <c r="B47" s="14" t="inlineStr">
        <is>
          <t>Sarah Davis</t>
        </is>
      </c>
      <c r="C47" s="14">
        <f>COUNTIF('Raw Data'!$C$2:$C$251,A47)</f>
        <v/>
      </c>
      <c r="D47" s="14">
        <f>SUMIF('Raw Data'!$C$2:$C$251,A47,'Raw Data'!$H$2:$H$251)</f>
        <v/>
      </c>
      <c r="E47" s="52">
        <f>SUMIF('Raw Data'!$C$2:$C$251,A47,'Raw Data'!$N$2:$N$251)</f>
        <v/>
      </c>
      <c r="F47" s="14">
        <f>IF(C47&gt;1,"Repeat buyer","One-time buyer")</f>
        <v/>
      </c>
      <c r="H47" s="14" t="inlineStr">
        <is>
          <t>Arthur Edwards</t>
        </is>
      </c>
      <c r="I47" s="14" t="inlineStr">
        <is>
          <t>Cynthia Price</t>
        </is>
      </c>
      <c r="J47" s="14">
        <f>IF(COUNTIF($I$47:$I$56,H47)&gt;0,H47,"")</f>
        <v/>
      </c>
    </row>
    <row r="48">
      <c r="A48" s="39" t="inlineStr">
        <is>
          <t>CUST005</t>
        </is>
      </c>
      <c r="B48" s="39" t="inlineStr">
        <is>
          <t>James Johnson</t>
        </is>
      </c>
      <c r="C48" s="39">
        <f>COUNTIF('Raw Data'!$C$2:$C$251,A48)</f>
        <v/>
      </c>
      <c r="D48" s="39">
        <f>SUMIF('Raw Data'!$C$2:$C$251,A48,'Raw Data'!$H$2:$H$251)</f>
        <v/>
      </c>
      <c r="E48" s="54">
        <f>SUMIF('Raw Data'!$C$2:$C$251,A48,'Raw Data'!$N$2:$N$251)</f>
        <v/>
      </c>
      <c r="F48" s="39">
        <f>IF(C48&gt;1,"Repeat buyer","One-time buyer")</f>
        <v/>
      </c>
      <c r="H48" s="39" t="inlineStr">
        <is>
          <t>Barbara Young</t>
        </is>
      </c>
      <c r="I48" s="39" t="inlineStr">
        <is>
          <t>Daniel King</t>
        </is>
      </c>
      <c r="J48" s="39">
        <f>IF(COUNTIF($I$47:$I$56,H48)&gt;0,H48,"")</f>
        <v/>
      </c>
    </row>
    <row r="49">
      <c r="A49" s="14" t="inlineStr">
        <is>
          <t>CUST006</t>
        </is>
      </c>
      <c r="B49" s="14" t="inlineStr">
        <is>
          <t>Lisa Anderson</t>
        </is>
      </c>
      <c r="C49" s="14">
        <f>COUNTIF('Raw Data'!$C$2:$C$251,A49)</f>
        <v/>
      </c>
      <c r="D49" s="14">
        <f>SUMIF('Raw Data'!$C$2:$C$251,A49,'Raw Data'!$H$2:$H$251)</f>
        <v/>
      </c>
      <c r="E49" s="52">
        <f>SUMIF('Raw Data'!$C$2:$C$251,A49,'Raw Data'!$N$2:$N$251)</f>
        <v/>
      </c>
      <c r="F49" s="14">
        <f>IF(C49&gt;1,"Repeat buyer","One-time buyer")</f>
        <v/>
      </c>
      <c r="H49" s="14" t="inlineStr">
        <is>
          <t>Betty Campbell</t>
        </is>
      </c>
      <c r="I49" s="14" t="inlineStr">
        <is>
          <t>David Martinez</t>
        </is>
      </c>
      <c r="J49" s="14">
        <f>IF(COUNTIF($I$47:$I$56,H49)&gt;0,H49,"")</f>
        <v/>
      </c>
    </row>
    <row r="50">
      <c r="A50" s="39" t="inlineStr">
        <is>
          <t>CUST007</t>
        </is>
      </c>
      <c r="B50" s="39" t="inlineStr">
        <is>
          <t>David Martinez</t>
        </is>
      </c>
      <c r="C50" s="39">
        <f>COUNTIF('Raw Data'!$C$2:$C$251,A50)</f>
        <v/>
      </c>
      <c r="D50" s="39">
        <f>SUMIF('Raw Data'!$C$2:$C$251,A50,'Raw Data'!$H$2:$H$251)</f>
        <v/>
      </c>
      <c r="E50" s="54">
        <f>SUMIF('Raw Data'!$C$2:$C$251,A50,'Raw Data'!$N$2:$N$251)</f>
        <v/>
      </c>
      <c r="F50" s="39">
        <f>IF(C50&gt;1,"Repeat buyer","One-time buyer")</f>
        <v/>
      </c>
      <c r="H50" s="39" t="inlineStr">
        <is>
          <t>Carol Evans</t>
        </is>
      </c>
      <c r="I50" s="39" t="inlineStr">
        <is>
          <t>Dennis Gray</t>
        </is>
      </c>
      <c r="J50" s="39">
        <f>IF(COUNTIF($I$47:$I$56,H50)&gt;0,H50,"")</f>
        <v/>
      </c>
    </row>
    <row r="51">
      <c r="A51" s="14" t="inlineStr">
        <is>
          <t>CUST008</t>
        </is>
      </c>
      <c r="B51" s="14" t="inlineStr">
        <is>
          <t>Jennifer Taylor</t>
        </is>
      </c>
      <c r="C51" s="14">
        <f>COUNTIF('Raw Data'!$C$2:$C$251,A51)</f>
        <v/>
      </c>
      <c r="D51" s="14">
        <f>SUMIF('Raw Data'!$C$2:$C$251,A51,'Raw Data'!$H$2:$H$251)</f>
        <v/>
      </c>
      <c r="E51" s="52">
        <f>SUMIF('Raw Data'!$C$2:$C$251,A51,'Raw Data'!$N$2:$N$251)</f>
        <v/>
      </c>
      <c r="F51" s="14">
        <f>IF(C51&gt;1,"Repeat buyer","One-time buyer")</f>
        <v/>
      </c>
      <c r="H51" s="14" t="inlineStr">
        <is>
          <t>Charles Allen</t>
        </is>
      </c>
      <c r="I51" s="14" t="inlineStr">
        <is>
          <t>Dorothy Nelson</t>
        </is>
      </c>
      <c r="J51" s="14">
        <f>IF(COUNTIF($I$47:$I$56,H51)&gt;0,H51,"")</f>
        <v/>
      </c>
    </row>
    <row r="52">
      <c r="A52" s="39" t="inlineStr">
        <is>
          <t>CUST009</t>
        </is>
      </c>
      <c r="B52" s="39" t="inlineStr">
        <is>
          <t>Robert Thomas</t>
        </is>
      </c>
      <c r="C52" s="39">
        <f>COUNTIF('Raw Data'!$C$2:$C$251,A52)</f>
        <v/>
      </c>
      <c r="D52" s="39">
        <f>SUMIF('Raw Data'!$C$2:$C$251,A52,'Raw Data'!$H$2:$H$251)</f>
        <v/>
      </c>
      <c r="E52" s="54">
        <f>SUMIF('Raw Data'!$C$2:$C$251,A52,'Raw Data'!$N$2:$N$251)</f>
        <v/>
      </c>
      <c r="F52" s="39">
        <f>IF(C52&gt;1,"Repeat buyer","One-time buyer")</f>
        <v/>
      </c>
      <c r="H52" s="39" t="inlineStr">
        <is>
          <t>Cynthia Price</t>
        </is>
      </c>
      <c r="I52" s="39" t="inlineStr">
        <is>
          <t>Douglas Watson</t>
        </is>
      </c>
      <c r="J52" s="39">
        <f>IF(COUNTIF($I$47:$I$56,H52)&gt;0,H52,"")</f>
        <v/>
      </c>
    </row>
    <row r="53">
      <c r="A53" s="14" t="inlineStr">
        <is>
          <t>CUST010</t>
        </is>
      </c>
      <c r="B53" s="14" t="inlineStr">
        <is>
          <t>Maria Garcia</t>
        </is>
      </c>
      <c r="C53" s="14">
        <f>COUNTIF('Raw Data'!$C$2:$C$251,A53)</f>
        <v/>
      </c>
      <c r="D53" s="14">
        <f>SUMIF('Raw Data'!$C$2:$C$251,A53,'Raw Data'!$H$2:$H$251)</f>
        <v/>
      </c>
      <c r="E53" s="52">
        <f>SUMIF('Raw Data'!$C$2:$C$251,A53,'Raw Data'!$N$2:$N$251)</f>
        <v/>
      </c>
      <c r="F53" s="14">
        <f>IF(C53&gt;1,"Repeat buyer","One-time buyer")</f>
        <v/>
      </c>
      <c r="H53" s="14" t="inlineStr">
        <is>
          <t>Daniel King</t>
        </is>
      </c>
      <c r="I53" s="14" t="inlineStr">
        <is>
          <t>Edward Mitchell</t>
        </is>
      </c>
      <c r="J53" s="14">
        <f>IF(COUNTIF($I$47:$I$56,H53)&gt;0,H53,"")</f>
        <v/>
      </c>
    </row>
    <row r="54">
      <c r="A54" s="39" t="inlineStr">
        <is>
          <t>CUST011</t>
        </is>
      </c>
      <c r="B54" s="39" t="inlineStr">
        <is>
          <t>William White</t>
        </is>
      </c>
      <c r="C54" s="39">
        <f>COUNTIF('Raw Data'!$C$2:$C$251,A54)</f>
        <v/>
      </c>
      <c r="D54" s="39">
        <f>SUMIF('Raw Data'!$C$2:$C$251,A54,'Raw Data'!$H$2:$H$251)</f>
        <v/>
      </c>
      <c r="E54" s="54">
        <f>SUMIF('Raw Data'!$C$2:$C$251,A54,'Raw Data'!$N$2:$N$251)</f>
        <v/>
      </c>
      <c r="F54" s="39">
        <f>IF(C54&gt;1,"Repeat buyer","One-time buyer")</f>
        <v/>
      </c>
      <c r="H54" s="39" t="inlineStr">
        <is>
          <t>David Martinez</t>
        </is>
      </c>
      <c r="I54" s="39" t="inlineStr">
        <is>
          <t>Elizabeth Hall</t>
        </is>
      </c>
      <c r="J54" s="39">
        <f>IF(COUNTIF($I$47:$I$56,H54)&gt;0,H54,"")</f>
        <v/>
      </c>
    </row>
    <row r="55">
      <c r="A55" s="14" t="inlineStr">
        <is>
          <t>CUST012</t>
        </is>
      </c>
      <c r="B55" s="14" t="inlineStr">
        <is>
          <t>Patricia Moore</t>
        </is>
      </c>
      <c r="C55" s="14">
        <f>COUNTIF('Raw Data'!$C$2:$C$251,A55)</f>
        <v/>
      </c>
      <c r="D55" s="14">
        <f>SUMIF('Raw Data'!$C$2:$C$251,A55,'Raw Data'!$H$2:$H$251)</f>
        <v/>
      </c>
      <c r="E55" s="52">
        <f>SUMIF('Raw Data'!$C$2:$C$251,A55,'Raw Data'!$N$2:$N$251)</f>
        <v/>
      </c>
      <c r="F55" s="14">
        <f>IF(C55&gt;1,"Repeat buyer","One-time buyer")</f>
        <v/>
      </c>
      <c r="H55" s="14" t="inlineStr">
        <is>
          <t>Dennis Gray</t>
        </is>
      </c>
      <c r="I55" s="14" t="inlineStr">
        <is>
          <t>Emma Wilson</t>
        </is>
      </c>
      <c r="J55" s="14">
        <f>IF(COUNTIF($I$47:$I$56,H55)&gt;0,H55,"")</f>
        <v/>
      </c>
    </row>
    <row r="56">
      <c r="A56" s="39" t="inlineStr">
        <is>
          <t>CUST013</t>
        </is>
      </c>
      <c r="B56" s="39" t="inlineStr">
        <is>
          <t>Joseph Jackson</t>
        </is>
      </c>
      <c r="C56" s="39">
        <f>COUNTIF('Raw Data'!$C$2:$C$251,A56)</f>
        <v/>
      </c>
      <c r="D56" s="39">
        <f>SUMIF('Raw Data'!$C$2:$C$251,A56,'Raw Data'!$H$2:$H$251)</f>
        <v/>
      </c>
      <c r="E56" s="54">
        <f>SUMIF('Raw Data'!$C$2:$C$251,A56,'Raw Data'!$N$2:$N$251)</f>
        <v/>
      </c>
      <c r="F56" s="39">
        <f>IF(C56&gt;1,"Repeat buyer","One-time buyer")</f>
        <v/>
      </c>
      <c r="H56" s="39" t="inlineStr">
        <is>
          <t>Dorothy Nelson</t>
        </is>
      </c>
      <c r="I56" s="39" t="inlineStr">
        <is>
          <t>Frank Torres</t>
        </is>
      </c>
      <c r="J56" s="39">
        <f>IF(COUNTIF($I$47:$I$56,H56)&gt;0,H56,"")</f>
        <v/>
      </c>
    </row>
    <row r="57">
      <c r="A57" s="14" t="inlineStr">
        <is>
          <t>CUST014</t>
        </is>
      </c>
      <c r="B57" s="14" t="inlineStr">
        <is>
          <t>Linda Martin</t>
        </is>
      </c>
      <c r="C57" s="14">
        <f>COUNTIF('Raw Data'!$C$2:$C$251,A57)</f>
        <v/>
      </c>
      <c r="D57" s="14">
        <f>SUMIF('Raw Data'!$C$2:$C$251,A57,'Raw Data'!$H$2:$H$251)</f>
        <v/>
      </c>
      <c r="E57" s="52">
        <f>SUMIF('Raw Data'!$C$2:$C$251,A57,'Raw Data'!$N$2:$N$251)</f>
        <v/>
      </c>
      <c r="F57" s="14">
        <f>IF(C57&gt;1,"Repeat buyer","One-time buyer")</f>
        <v/>
      </c>
    </row>
    <row r="58">
      <c r="A58" s="39" t="inlineStr">
        <is>
          <t>CUST015</t>
        </is>
      </c>
      <c r="B58" s="39" t="inlineStr">
        <is>
          <t>Richard Lee</t>
        </is>
      </c>
      <c r="C58" s="39">
        <f>COUNTIF('Raw Data'!$C$2:$C$251,A58)</f>
        <v/>
      </c>
      <c r="D58" s="39">
        <f>SUMIF('Raw Data'!$C$2:$C$251,A58,'Raw Data'!$H$2:$H$251)</f>
        <v/>
      </c>
      <c r="E58" s="54">
        <f>SUMIF('Raw Data'!$C$2:$C$251,A58,'Raw Data'!$N$2:$N$251)</f>
        <v/>
      </c>
      <c r="F58" s="39">
        <f>IF(C58&gt;1,"Repeat buyer","One-time buyer")</f>
        <v/>
      </c>
      <c r="H58" s="58" t="inlineStr">
        <is>
          <t>Matching names are extracted into the Match column; replace sample names with your own two lists.</t>
        </is>
      </c>
    </row>
    <row r="59">
      <c r="A59" s="14" t="inlineStr">
        <is>
          <t>CUST016</t>
        </is>
      </c>
      <c r="B59" s="14" t="inlineStr">
        <is>
          <t>Elizabeth Hall</t>
        </is>
      </c>
      <c r="C59" s="14">
        <f>COUNTIF('Raw Data'!$C$2:$C$251,A59)</f>
        <v/>
      </c>
      <c r="D59" s="14">
        <f>SUMIF('Raw Data'!$C$2:$C$251,A59,'Raw Data'!$H$2:$H$251)</f>
        <v/>
      </c>
      <c r="E59" s="52">
        <f>SUMIF('Raw Data'!$C$2:$C$251,A59,'Raw Data'!$N$2:$N$251)</f>
        <v/>
      </c>
      <c r="F59" s="14">
        <f>IF(C59&gt;1,"Repeat buyer","One-time buyer")</f>
        <v/>
      </c>
    </row>
    <row r="60">
      <c r="A60" s="39" t="inlineStr">
        <is>
          <t>CUST017</t>
        </is>
      </c>
      <c r="B60" s="39" t="inlineStr">
        <is>
          <t>Charles Allen</t>
        </is>
      </c>
      <c r="C60" s="39">
        <f>COUNTIF('Raw Data'!$C$2:$C$251,A60)</f>
        <v/>
      </c>
      <c r="D60" s="39">
        <f>SUMIF('Raw Data'!$C$2:$C$251,A60,'Raw Data'!$H$2:$H$251)</f>
        <v/>
      </c>
      <c r="E60" s="54">
        <f>SUMIF('Raw Data'!$C$2:$C$251,A60,'Raw Data'!$N$2:$N$251)</f>
        <v/>
      </c>
      <c r="F60" s="39">
        <f>IF(C60&gt;1,"Repeat buyer","One-time buyer")</f>
        <v/>
      </c>
    </row>
    <row r="61">
      <c r="A61" s="14" t="inlineStr">
        <is>
          <t>CUST018</t>
        </is>
      </c>
      <c r="B61" s="14" t="inlineStr">
        <is>
          <t>Barbara Young</t>
        </is>
      </c>
      <c r="C61" s="14">
        <f>COUNTIF('Raw Data'!$C$2:$C$251,A61)</f>
        <v/>
      </c>
      <c r="D61" s="14">
        <f>SUMIF('Raw Data'!$C$2:$C$251,A61,'Raw Data'!$H$2:$H$251)</f>
        <v/>
      </c>
      <c r="E61" s="52">
        <f>SUMIF('Raw Data'!$C$2:$C$251,A61,'Raw Data'!$N$2:$N$251)</f>
        <v/>
      </c>
      <c r="F61" s="14">
        <f>IF(C61&gt;1,"Repeat buyer","One-time buyer")</f>
        <v/>
      </c>
    </row>
    <row r="62">
      <c r="A62" s="39" t="inlineStr">
        <is>
          <t>CUST019</t>
        </is>
      </c>
      <c r="B62" s="39" t="inlineStr">
        <is>
          <t>Daniel King</t>
        </is>
      </c>
      <c r="C62" s="39">
        <f>COUNTIF('Raw Data'!$C$2:$C$251,A62)</f>
        <v/>
      </c>
      <c r="D62" s="39">
        <f>SUMIF('Raw Data'!$C$2:$C$251,A62,'Raw Data'!$H$2:$H$251)</f>
        <v/>
      </c>
      <c r="E62" s="54">
        <f>SUMIF('Raw Data'!$C$2:$C$251,A62,'Raw Data'!$N$2:$N$251)</f>
        <v/>
      </c>
      <c r="F62" s="39">
        <f>IF(C62&gt;1,"Repeat buyer","One-time buyer")</f>
        <v/>
      </c>
    </row>
    <row r="63">
      <c r="A63" s="14" t="inlineStr">
        <is>
          <t>CUST020</t>
        </is>
      </c>
      <c r="B63" s="14" t="inlineStr">
        <is>
          <t>Margaret Wright</t>
        </is>
      </c>
      <c r="C63" s="14">
        <f>COUNTIF('Raw Data'!$C$2:$C$251,A63)</f>
        <v/>
      </c>
      <c r="D63" s="14">
        <f>SUMIF('Raw Data'!$C$2:$C$251,A63,'Raw Data'!$H$2:$H$251)</f>
        <v/>
      </c>
      <c r="E63" s="52">
        <f>SUMIF('Raw Data'!$C$2:$C$251,A63,'Raw Data'!$N$2:$N$251)</f>
        <v/>
      </c>
      <c r="F63" s="14">
        <f>IF(C63&gt;1,"Repeat buyer","One-time buyer")</f>
        <v/>
      </c>
    </row>
    <row r="64">
      <c r="A64" s="39" t="inlineStr">
        <is>
          <t>CUST021</t>
        </is>
      </c>
      <c r="B64" s="39" t="inlineStr">
        <is>
          <t>Kevin Scott</t>
        </is>
      </c>
      <c r="C64" s="39">
        <f>COUNTIF('Raw Data'!$C$2:$C$251,A64)</f>
        <v/>
      </c>
      <c r="D64" s="39">
        <f>SUMIF('Raw Data'!$C$2:$C$251,A64,'Raw Data'!$H$2:$H$251)</f>
        <v/>
      </c>
      <c r="E64" s="54">
        <f>SUMIF('Raw Data'!$C$2:$C$251,A64,'Raw Data'!$N$2:$N$251)</f>
        <v/>
      </c>
      <c r="F64" s="39">
        <f>IF(C64&gt;1,"Repeat buyer","One-time buyer")</f>
        <v/>
      </c>
    </row>
    <row r="65">
      <c r="A65" s="14" t="inlineStr">
        <is>
          <t>CUST022</t>
        </is>
      </c>
      <c r="B65" s="14" t="inlineStr">
        <is>
          <t>Susan Green</t>
        </is>
      </c>
      <c r="C65" s="14">
        <f>COUNTIF('Raw Data'!$C$2:$C$251,A65)</f>
        <v/>
      </c>
      <c r="D65" s="14">
        <f>SUMIF('Raw Data'!$C$2:$C$251,A65,'Raw Data'!$H$2:$H$251)</f>
        <v/>
      </c>
      <c r="E65" s="52">
        <f>SUMIF('Raw Data'!$C$2:$C$251,A65,'Raw Data'!$N$2:$N$251)</f>
        <v/>
      </c>
      <c r="F65" s="14">
        <f>IF(C65&gt;1,"Repeat buyer","One-time buyer")</f>
        <v/>
      </c>
    </row>
    <row r="66">
      <c r="A66" s="39" t="inlineStr">
        <is>
          <t>CUST023</t>
        </is>
      </c>
      <c r="B66" s="39" t="inlineStr">
        <is>
          <t>Paul Baker</t>
        </is>
      </c>
      <c r="C66" s="39">
        <f>COUNTIF('Raw Data'!$C$2:$C$251,A66)</f>
        <v/>
      </c>
      <c r="D66" s="39">
        <f>SUMIF('Raw Data'!$C$2:$C$251,A66,'Raw Data'!$H$2:$H$251)</f>
        <v/>
      </c>
      <c r="E66" s="54">
        <f>SUMIF('Raw Data'!$C$2:$C$251,A66,'Raw Data'!$N$2:$N$251)</f>
        <v/>
      </c>
      <c r="F66" s="39">
        <f>IF(C66&gt;1,"Repeat buyer","One-time buyer")</f>
        <v/>
      </c>
    </row>
    <row r="67">
      <c r="A67" s="14" t="inlineStr">
        <is>
          <t>CUST024</t>
        </is>
      </c>
      <c r="B67" s="14" t="inlineStr">
        <is>
          <t>Dorothy Nelson</t>
        </is>
      </c>
      <c r="C67" s="14">
        <f>COUNTIF('Raw Data'!$C$2:$C$251,A67)</f>
        <v/>
      </c>
      <c r="D67" s="14">
        <f>SUMIF('Raw Data'!$C$2:$C$251,A67,'Raw Data'!$H$2:$H$251)</f>
        <v/>
      </c>
      <c r="E67" s="52">
        <f>SUMIF('Raw Data'!$C$2:$C$251,A67,'Raw Data'!$N$2:$N$251)</f>
        <v/>
      </c>
      <c r="F67" s="14">
        <f>IF(C67&gt;1,"Repeat buyer","One-time buyer")</f>
        <v/>
      </c>
    </row>
    <row r="68">
      <c r="A68" s="39" t="inlineStr">
        <is>
          <t>CUST025</t>
        </is>
      </c>
      <c r="B68" s="39" t="inlineStr">
        <is>
          <t>Mark Carter</t>
        </is>
      </c>
      <c r="C68" s="39">
        <f>COUNTIF('Raw Data'!$C$2:$C$251,A68)</f>
        <v/>
      </c>
      <c r="D68" s="39">
        <f>SUMIF('Raw Data'!$C$2:$C$251,A68,'Raw Data'!$H$2:$H$251)</f>
        <v/>
      </c>
      <c r="E68" s="54">
        <f>SUMIF('Raw Data'!$C$2:$C$251,A68,'Raw Data'!$N$2:$N$251)</f>
        <v/>
      </c>
      <c r="F68" s="39">
        <f>IF(C68&gt;1,"Repeat buyer","One-time buyer")</f>
        <v/>
      </c>
    </row>
    <row r="69">
      <c r="A69" s="14" t="inlineStr">
        <is>
          <t>CUST026</t>
        </is>
      </c>
      <c r="B69" s="14" t="inlineStr">
        <is>
          <t>Karen Hill</t>
        </is>
      </c>
      <c r="C69" s="14">
        <f>COUNTIF('Raw Data'!$C$2:$C$251,A69)</f>
        <v/>
      </c>
      <c r="D69" s="14">
        <f>SUMIF('Raw Data'!$C$2:$C$251,A69,'Raw Data'!$H$2:$H$251)</f>
        <v/>
      </c>
      <c r="E69" s="52">
        <f>SUMIF('Raw Data'!$C$2:$C$251,A69,'Raw Data'!$N$2:$N$251)</f>
        <v/>
      </c>
      <c r="F69" s="14">
        <f>IF(C69&gt;1,"Repeat buyer","One-time buyer")</f>
        <v/>
      </c>
    </row>
    <row r="70">
      <c r="A70" s="39" t="inlineStr">
        <is>
          <t>CUST027</t>
        </is>
      </c>
      <c r="B70" s="39" t="inlineStr">
        <is>
          <t>George Adams</t>
        </is>
      </c>
      <c r="C70" s="39">
        <f>COUNTIF('Raw Data'!$C$2:$C$251,A70)</f>
        <v/>
      </c>
      <c r="D70" s="39">
        <f>SUMIF('Raw Data'!$C$2:$C$251,A70,'Raw Data'!$H$2:$H$251)</f>
        <v/>
      </c>
      <c r="E70" s="54">
        <f>SUMIF('Raw Data'!$C$2:$C$251,A70,'Raw Data'!$N$2:$N$251)</f>
        <v/>
      </c>
      <c r="F70" s="39">
        <f>IF(C70&gt;1,"Repeat buyer","One-time buyer")</f>
        <v/>
      </c>
    </row>
    <row r="71">
      <c r="A71" s="14" t="inlineStr">
        <is>
          <t>CUST028</t>
        </is>
      </c>
      <c r="B71" s="14" t="inlineStr">
        <is>
          <t>Betty Campbell</t>
        </is>
      </c>
      <c r="C71" s="14">
        <f>COUNTIF('Raw Data'!$C$2:$C$251,A71)</f>
        <v/>
      </c>
      <c r="D71" s="14">
        <f>SUMIF('Raw Data'!$C$2:$C$251,A71,'Raw Data'!$H$2:$H$251)</f>
        <v/>
      </c>
      <c r="E71" s="52">
        <f>SUMIF('Raw Data'!$C$2:$C$251,A71,'Raw Data'!$N$2:$N$251)</f>
        <v/>
      </c>
      <c r="F71" s="14">
        <f>IF(C71&gt;1,"Repeat buyer","One-time buyer")</f>
        <v/>
      </c>
    </row>
    <row r="72">
      <c r="A72" s="39" t="inlineStr">
        <is>
          <t>CUST029</t>
        </is>
      </c>
      <c r="B72" s="39" t="inlineStr">
        <is>
          <t>Edward Mitchell</t>
        </is>
      </c>
      <c r="C72" s="39">
        <f>COUNTIF('Raw Data'!$C$2:$C$251,A72)</f>
        <v/>
      </c>
      <c r="D72" s="39">
        <f>SUMIF('Raw Data'!$C$2:$C$251,A72,'Raw Data'!$H$2:$H$251)</f>
        <v/>
      </c>
      <c r="E72" s="54">
        <f>SUMIF('Raw Data'!$C$2:$C$251,A72,'Raw Data'!$N$2:$N$251)</f>
        <v/>
      </c>
      <c r="F72" s="39">
        <f>IF(C72&gt;1,"Repeat buyer","One-time buyer")</f>
        <v/>
      </c>
    </row>
    <row r="73">
      <c r="A73" s="14" t="inlineStr">
        <is>
          <t>CUST030</t>
        </is>
      </c>
      <c r="B73" s="14" t="inlineStr">
        <is>
          <t>Helen Roberts</t>
        </is>
      </c>
      <c r="C73" s="14">
        <f>COUNTIF('Raw Data'!$C$2:$C$251,A73)</f>
        <v/>
      </c>
      <c r="D73" s="14">
        <f>SUMIF('Raw Data'!$C$2:$C$251,A73,'Raw Data'!$H$2:$H$251)</f>
        <v/>
      </c>
      <c r="E73" s="52">
        <f>SUMIF('Raw Data'!$C$2:$C$251,A73,'Raw Data'!$N$2:$N$251)</f>
        <v/>
      </c>
      <c r="F73" s="14">
        <f>IF(C73&gt;1,"Repeat buyer","One-time buyer")</f>
        <v/>
      </c>
    </row>
    <row r="74">
      <c r="A74" s="39" t="inlineStr">
        <is>
          <t>CUST031</t>
        </is>
      </c>
      <c r="B74" s="39" t="inlineStr">
        <is>
          <t>Steven Turner</t>
        </is>
      </c>
      <c r="C74" s="39">
        <f>COUNTIF('Raw Data'!$C$2:$C$251,A74)</f>
        <v/>
      </c>
      <c r="D74" s="39">
        <f>SUMIF('Raw Data'!$C$2:$C$251,A74,'Raw Data'!$H$2:$H$251)</f>
        <v/>
      </c>
      <c r="E74" s="54">
        <f>SUMIF('Raw Data'!$C$2:$C$251,A74,'Raw Data'!$N$2:$N$251)</f>
        <v/>
      </c>
      <c r="F74" s="39">
        <f>IF(C74&gt;1,"Repeat buyer","One-time buyer")</f>
        <v/>
      </c>
    </row>
    <row r="75">
      <c r="A75" s="14" t="inlineStr">
        <is>
          <t>CUST032</t>
        </is>
      </c>
      <c r="B75" s="14" t="inlineStr">
        <is>
          <t>Sandra Phillips</t>
        </is>
      </c>
      <c r="C75" s="14">
        <f>COUNTIF('Raw Data'!$C$2:$C$251,A75)</f>
        <v/>
      </c>
      <c r="D75" s="14">
        <f>SUMIF('Raw Data'!$C$2:$C$251,A75,'Raw Data'!$H$2:$H$251)</f>
        <v/>
      </c>
      <c r="E75" s="52">
        <f>SUMIF('Raw Data'!$C$2:$C$251,A75,'Raw Data'!$N$2:$N$251)</f>
        <v/>
      </c>
      <c r="F75" s="14">
        <f>IF(C75&gt;1,"Repeat buyer","One-time buyer")</f>
        <v/>
      </c>
    </row>
    <row r="76">
      <c r="A76" s="39" t="inlineStr">
        <is>
          <t>CUST033</t>
        </is>
      </c>
      <c r="B76" s="39" t="inlineStr">
        <is>
          <t>Frank Torres</t>
        </is>
      </c>
      <c r="C76" s="39">
        <f>COUNTIF('Raw Data'!$C$2:$C$251,A76)</f>
        <v/>
      </c>
      <c r="D76" s="39">
        <f>SUMIF('Raw Data'!$C$2:$C$251,A76,'Raw Data'!$H$2:$H$251)</f>
        <v/>
      </c>
      <c r="E76" s="54">
        <f>SUMIF('Raw Data'!$C$2:$C$251,A76,'Raw Data'!$N$2:$N$251)</f>
        <v/>
      </c>
      <c r="F76" s="39">
        <f>IF(C76&gt;1,"Repeat buyer","One-time buyer")</f>
        <v/>
      </c>
    </row>
    <row r="77">
      <c r="A77" s="14" t="inlineStr">
        <is>
          <t>CUST034</t>
        </is>
      </c>
      <c r="B77" s="14" t="inlineStr">
        <is>
          <t>Carol Evans</t>
        </is>
      </c>
      <c r="C77" s="14">
        <f>COUNTIF('Raw Data'!$C$2:$C$251,A77)</f>
        <v/>
      </c>
      <c r="D77" s="14">
        <f>SUMIF('Raw Data'!$C$2:$C$251,A77,'Raw Data'!$H$2:$H$251)</f>
        <v/>
      </c>
      <c r="E77" s="52">
        <f>SUMIF('Raw Data'!$C$2:$C$251,A77,'Raw Data'!$N$2:$N$251)</f>
        <v/>
      </c>
      <c r="F77" s="14">
        <f>IF(C77&gt;1,"Repeat buyer","One-time buyer")</f>
        <v/>
      </c>
    </row>
    <row r="78">
      <c r="A78" s="39" t="inlineStr">
        <is>
          <t>CUST035</t>
        </is>
      </c>
      <c r="B78" s="39" t="inlineStr">
        <is>
          <t>Harry Morgan</t>
        </is>
      </c>
      <c r="C78" s="39">
        <f>COUNTIF('Raw Data'!$C$2:$C$251,A78)</f>
        <v/>
      </c>
      <c r="D78" s="39">
        <f>SUMIF('Raw Data'!$C$2:$C$251,A78,'Raw Data'!$H$2:$H$251)</f>
        <v/>
      </c>
      <c r="E78" s="54">
        <f>SUMIF('Raw Data'!$C$2:$C$251,A78,'Raw Data'!$N$2:$N$251)</f>
        <v/>
      </c>
      <c r="F78" s="39">
        <f>IF(C78&gt;1,"Repeat buyer","One-time buyer")</f>
        <v/>
      </c>
    </row>
    <row r="79">
      <c r="A79" s="14" t="inlineStr">
        <is>
          <t>CUST036</t>
        </is>
      </c>
      <c r="B79" s="14" t="inlineStr">
        <is>
          <t>Nancy Collins</t>
        </is>
      </c>
      <c r="C79" s="14">
        <f>COUNTIF('Raw Data'!$C$2:$C$251,A79)</f>
        <v/>
      </c>
      <c r="D79" s="14">
        <f>SUMIF('Raw Data'!$C$2:$C$251,A79,'Raw Data'!$H$2:$H$251)</f>
        <v/>
      </c>
      <c r="E79" s="52">
        <f>SUMIF('Raw Data'!$C$2:$C$251,A79,'Raw Data'!$N$2:$N$251)</f>
        <v/>
      </c>
      <c r="F79" s="14">
        <f>IF(C79&gt;1,"Repeat buyer","One-time buyer")</f>
        <v/>
      </c>
    </row>
    <row r="80">
      <c r="A80" s="39" t="inlineStr">
        <is>
          <t>CUST037</t>
        </is>
      </c>
      <c r="B80" s="39" t="inlineStr">
        <is>
          <t>Arthur Edwards</t>
        </is>
      </c>
      <c r="C80" s="39">
        <f>COUNTIF('Raw Data'!$C$2:$C$251,A80)</f>
        <v/>
      </c>
      <c r="D80" s="39">
        <f>SUMIF('Raw Data'!$C$2:$C$251,A80,'Raw Data'!$H$2:$H$251)</f>
        <v/>
      </c>
      <c r="E80" s="54">
        <f>SUMIF('Raw Data'!$C$2:$C$251,A80,'Raw Data'!$N$2:$N$251)</f>
        <v/>
      </c>
      <c r="F80" s="39">
        <f>IF(C80&gt;1,"Repeat buyer","One-time buyer")</f>
        <v/>
      </c>
    </row>
    <row r="81">
      <c r="A81" s="14" t="inlineStr">
        <is>
          <t>CUST038</t>
        </is>
      </c>
      <c r="B81" s="14" t="inlineStr">
        <is>
          <t>Michelle Rogers</t>
        </is>
      </c>
      <c r="C81" s="14">
        <f>COUNTIF('Raw Data'!$C$2:$C$251,A81)</f>
        <v/>
      </c>
      <c r="D81" s="14">
        <f>SUMIF('Raw Data'!$C$2:$C$251,A81,'Raw Data'!$H$2:$H$251)</f>
        <v/>
      </c>
      <c r="E81" s="52">
        <f>SUMIF('Raw Data'!$C$2:$C$251,A81,'Raw Data'!$N$2:$N$251)</f>
        <v/>
      </c>
      <c r="F81" s="14">
        <f>IF(C81&gt;1,"Repeat buyer","One-time buyer")</f>
        <v/>
      </c>
    </row>
    <row r="82">
      <c r="A82" s="39" t="inlineStr">
        <is>
          <t>CUST039</t>
        </is>
      </c>
      <c r="B82" s="39" t="inlineStr">
        <is>
          <t>Lawrence Reed</t>
        </is>
      </c>
      <c r="C82" s="39">
        <f>COUNTIF('Raw Data'!$C$2:$C$251,A82)</f>
        <v/>
      </c>
      <c r="D82" s="39">
        <f>SUMIF('Raw Data'!$C$2:$C$251,A82,'Raw Data'!$H$2:$H$251)</f>
        <v/>
      </c>
      <c r="E82" s="54">
        <f>SUMIF('Raw Data'!$C$2:$C$251,A82,'Raw Data'!$N$2:$N$251)</f>
        <v/>
      </c>
      <c r="F82" s="39">
        <f>IF(C82&gt;1,"Repeat buyer","One-time buyer")</f>
        <v/>
      </c>
    </row>
    <row r="83">
      <c r="A83" s="14" t="inlineStr">
        <is>
          <t>CUST040</t>
        </is>
      </c>
      <c r="B83" s="14" t="inlineStr">
        <is>
          <t>Sharon Butler</t>
        </is>
      </c>
      <c r="C83" s="14">
        <f>COUNTIF('Raw Data'!$C$2:$C$251,A83)</f>
        <v/>
      </c>
      <c r="D83" s="14">
        <f>SUMIF('Raw Data'!$C$2:$C$251,A83,'Raw Data'!$H$2:$H$251)</f>
        <v/>
      </c>
      <c r="E83" s="52">
        <f>SUMIF('Raw Data'!$C$2:$C$251,A83,'Raw Data'!$N$2:$N$251)</f>
        <v/>
      </c>
      <c r="F83" s="14">
        <f>IF(C83&gt;1,"Repeat buyer","One-time buyer")</f>
        <v/>
      </c>
    </row>
    <row r="84">
      <c r="A84" s="39" t="inlineStr">
        <is>
          <t>CUST041</t>
        </is>
      </c>
      <c r="B84" s="39" t="inlineStr">
        <is>
          <t>Peter Richardson</t>
        </is>
      </c>
      <c r="C84" s="39">
        <f>COUNTIF('Raw Data'!$C$2:$C$251,A84)</f>
        <v/>
      </c>
      <c r="D84" s="39">
        <f>SUMIF('Raw Data'!$C$2:$C$251,A84,'Raw Data'!$H$2:$H$251)</f>
        <v/>
      </c>
      <c r="E84" s="54">
        <f>SUMIF('Raw Data'!$C$2:$C$251,A84,'Raw Data'!$N$2:$N$251)</f>
        <v/>
      </c>
      <c r="F84" s="39">
        <f>IF(C84&gt;1,"Repeat buyer","One-time buyer")</f>
        <v/>
      </c>
    </row>
    <row r="85">
      <c r="A85" s="14" t="inlineStr">
        <is>
          <t>CUST042</t>
        </is>
      </c>
      <c r="B85" s="14" t="inlineStr">
        <is>
          <t>Ruth Brooks</t>
        </is>
      </c>
      <c r="C85" s="14">
        <f>COUNTIF('Raw Data'!$C$2:$C$251,A85)</f>
        <v/>
      </c>
      <c r="D85" s="14">
        <f>SUMIF('Raw Data'!$C$2:$C$251,A85,'Raw Data'!$H$2:$H$251)</f>
        <v/>
      </c>
      <c r="E85" s="52">
        <f>SUMIF('Raw Data'!$C$2:$C$251,A85,'Raw Data'!$N$2:$N$251)</f>
        <v/>
      </c>
      <c r="F85" s="14">
        <f>IF(C85&gt;1,"Repeat buyer","One-time buyer")</f>
        <v/>
      </c>
    </row>
    <row r="86">
      <c r="A86" s="39" t="inlineStr">
        <is>
          <t>CUST043</t>
        </is>
      </c>
      <c r="B86" s="39" t="inlineStr">
        <is>
          <t>Dennis Gray</t>
        </is>
      </c>
      <c r="C86" s="39">
        <f>COUNTIF('Raw Data'!$C$2:$C$251,A86)</f>
        <v/>
      </c>
      <c r="D86" s="39">
        <f>SUMIF('Raw Data'!$C$2:$C$251,A86,'Raw Data'!$H$2:$H$251)</f>
        <v/>
      </c>
      <c r="E86" s="54">
        <f>SUMIF('Raw Data'!$C$2:$C$251,A86,'Raw Data'!$N$2:$N$251)</f>
        <v/>
      </c>
      <c r="F86" s="39">
        <f>IF(C86&gt;1,"Repeat buyer","One-time buyer")</f>
        <v/>
      </c>
    </row>
    <row r="87">
      <c r="A87" s="14" t="inlineStr">
        <is>
          <t>CUST044</t>
        </is>
      </c>
      <c r="B87" s="14" t="inlineStr">
        <is>
          <t>Cynthia Price</t>
        </is>
      </c>
      <c r="C87" s="14">
        <f>COUNTIF('Raw Data'!$C$2:$C$251,A87)</f>
        <v/>
      </c>
      <c r="D87" s="14">
        <f>SUMIF('Raw Data'!$C$2:$C$251,A87,'Raw Data'!$H$2:$H$251)</f>
        <v/>
      </c>
      <c r="E87" s="52">
        <f>SUMIF('Raw Data'!$C$2:$C$251,A87,'Raw Data'!$N$2:$N$251)</f>
        <v/>
      </c>
      <c r="F87" s="14">
        <f>IF(C87&gt;1,"Repeat buyer","One-time buyer")</f>
        <v/>
      </c>
    </row>
    <row r="88">
      <c r="A88" s="57" t="inlineStr">
        <is>
          <t>LIST COMPARISON — MATCHING NAMES</t>
        </is>
      </c>
      <c r="B88" s="39" t="inlineStr">
        <is>
          <t>Douglas Watson</t>
        </is>
      </c>
      <c r="C88" s="39">
        <f>COUNTIF('Raw Data'!$C$2:$C$251,A88)</f>
        <v/>
      </c>
      <c r="D88" s="39">
        <f>SUMIF('Raw Data'!$C$2:$C$251,A88,'Raw Data'!$H$2:$H$251)</f>
        <v/>
      </c>
      <c r="E88" s="54">
        <f>SUMIF('Raw Data'!$C$2:$C$251,A88,'Raw Data'!$N$2:$N$251)</f>
        <v/>
      </c>
      <c r="F88" s="57" t="inlineStr">
        <is>
          <t>UNIQUE CUSTOMER ABBREVIATIONS</t>
        </is>
      </c>
    </row>
    <row r="89">
      <c r="A89" s="76" t="inlineStr">
        <is>
          <t>List A Name</t>
        </is>
      </c>
      <c r="B89" s="76" t="inlineStr">
        <is>
          <t>List B Name</t>
        </is>
      </c>
      <c r="C89" s="76" t="inlineStr">
        <is>
          <t>Match?</t>
        </is>
      </c>
      <c r="D89" s="76" t="inlineStr">
        <is>
          <t>Extracted Match</t>
        </is>
      </c>
      <c r="E89" s="52">
        <f>SUMIF('Raw Data'!$C$2:$C$251,A89,'Raw Data'!$N$2:$N$251)</f>
        <v/>
      </c>
      <c r="F89" s="76" t="inlineStr">
        <is>
          <t>Customer Name</t>
        </is>
      </c>
      <c r="G89" s="72" t="inlineStr">
        <is>
          <t>Abbreviation</t>
        </is>
      </c>
    </row>
    <row r="90">
      <c r="A90" s="39" t="inlineStr">
        <is>
          <t>Arthur Edwards</t>
        </is>
      </c>
      <c r="B90" s="39" t="inlineStr">
        <is>
          <t>Dorothy Nelson</t>
        </is>
      </c>
      <c r="C90" s="39">
        <f>IF(COUNTIF($B$90:$B$109,A90)&gt;0,"Match","No match")</f>
        <v/>
      </c>
      <c r="D90" s="39">
        <f>IF(C90="Match",A90,"")</f>
        <v/>
      </c>
      <c r="E90" s="54">
        <f>SUMIF('Raw Data'!$C$2:$C$251,A90,'Raw Data'!$N$2:$N$251)</f>
        <v/>
      </c>
      <c r="F90" s="39" t="inlineStr">
        <is>
          <t>Arthur Edwards</t>
        </is>
      </c>
      <c r="G90">
        <f>TEXTJOIN("",TRUE,LEFT(TEXTSPLIT(F90," "),1))</f>
        <v/>
      </c>
    </row>
    <row r="91">
      <c r="A91" s="14" t="inlineStr">
        <is>
          <t>Barbara Young</t>
        </is>
      </c>
      <c r="B91" s="14" t="inlineStr">
        <is>
          <t>Dennis Gray</t>
        </is>
      </c>
      <c r="C91" s="14">
        <f>IF(COUNTIF($B$90:$B$109,A91)&gt;0,"Match","No match")</f>
        <v/>
      </c>
      <c r="D91" s="14">
        <f>IF(C91="Match",A91,"")</f>
        <v/>
      </c>
      <c r="E91" s="52">
        <f>SUMIF('Raw Data'!$C$2:$C$251,A91,'Raw Data'!$N$2:$N$251)</f>
        <v/>
      </c>
      <c r="F91" s="14" t="inlineStr">
        <is>
          <t>Barbara Young</t>
        </is>
      </c>
      <c r="G91">
        <f>TEXTJOIN("",TRUE,LEFT(TEXTSPLIT(F91," "),1))</f>
        <v/>
      </c>
    </row>
    <row r="92">
      <c r="A92" s="39" t="inlineStr">
        <is>
          <t>Betty Campbell</t>
        </is>
      </c>
      <c r="B92" s="39" t="inlineStr">
        <is>
          <t>David Martinez</t>
        </is>
      </c>
      <c r="C92" s="39">
        <f>IF(COUNTIF($B$90:$B$109,A92)&gt;0,"Match","No match")</f>
        <v/>
      </c>
      <c r="D92" s="39">
        <f>IF(C92="Match",A92,"")</f>
        <v/>
      </c>
      <c r="E92" s="54">
        <f>SUMIF('Raw Data'!$C$2:$C$251,A92,'Raw Data'!$N$2:$N$251)</f>
        <v/>
      </c>
      <c r="F92" s="39" t="inlineStr">
        <is>
          <t>Betty Campbell</t>
        </is>
      </c>
      <c r="G92">
        <f>TEXTJOIN("",TRUE,LEFT(TEXTSPLIT(F92," "),1))</f>
        <v/>
      </c>
    </row>
    <row r="93">
      <c r="A93" s="14" t="inlineStr">
        <is>
          <t>Carol Evans</t>
        </is>
      </c>
      <c r="B93" s="14" t="inlineStr">
        <is>
          <t>Daniel King</t>
        </is>
      </c>
      <c r="C93" s="14">
        <f>IF(COUNTIF($B$90:$B$109,A93)&gt;0,"Match","No match")</f>
        <v/>
      </c>
      <c r="D93" s="14">
        <f>IF(C93="Match",A93,"")</f>
        <v/>
      </c>
      <c r="E93" s="52">
        <f>SUMIF('Raw Data'!$C$2:$C$251,A93,'Raw Data'!$N$2:$N$251)</f>
        <v/>
      </c>
      <c r="F93" s="14" t="inlineStr">
        <is>
          <t>Carol Evans</t>
        </is>
      </c>
      <c r="G93">
        <f>TEXTJOIN("",TRUE,LEFT(TEXTSPLIT(F93," "),1))</f>
        <v/>
      </c>
    </row>
    <row r="94">
      <c r="A94" t="inlineStr">
        <is>
          <t>Charles Allen</t>
        </is>
      </c>
      <c r="B94" t="inlineStr">
        <is>
          <t>Cynthia Price</t>
        </is>
      </c>
      <c r="C94">
        <f>IF(COUNTIF($B$90:$B$109,A94)&gt;0,"Match","No match")</f>
        <v/>
      </c>
      <c r="D94">
        <f>IF(C94="Match",A94,"")</f>
        <v/>
      </c>
      <c r="F94" t="inlineStr">
        <is>
          <t>Charles Allen</t>
        </is>
      </c>
      <c r="G94">
        <f>TEXTJOIN("",TRUE,LEFT(TEXTSPLIT(F94," "),1))</f>
        <v/>
      </c>
    </row>
    <row r="95">
      <c r="A95" t="inlineStr">
        <is>
          <t>Cynthia Price</t>
        </is>
      </c>
      <c r="B95" t="inlineStr">
        <is>
          <t>Charles Allen</t>
        </is>
      </c>
      <c r="C95">
        <f>IF(COUNTIF($B$90:$B$109,A95)&gt;0,"Match","No match")</f>
        <v/>
      </c>
      <c r="D95">
        <f>IF(C95="Match",A95,"")</f>
        <v/>
      </c>
      <c r="F95" t="inlineStr">
        <is>
          <t>Cynthia Price</t>
        </is>
      </c>
      <c r="G95">
        <f>TEXTJOIN("",TRUE,LEFT(TEXTSPLIT(F95," "),1))</f>
        <v/>
      </c>
    </row>
    <row r="96">
      <c r="A96" t="inlineStr">
        <is>
          <t>Daniel King</t>
        </is>
      </c>
      <c r="B96" t="inlineStr">
        <is>
          <t>Carol Evans</t>
        </is>
      </c>
      <c r="C96">
        <f>IF(COUNTIF($B$90:$B$109,A96)&gt;0,"Match","No match")</f>
        <v/>
      </c>
      <c r="D96">
        <f>IF(C96="Match",A96,"")</f>
        <v/>
      </c>
      <c r="F96" t="inlineStr">
        <is>
          <t>Daniel King</t>
        </is>
      </c>
      <c r="G96">
        <f>TEXTJOIN("",TRUE,LEFT(TEXTSPLIT(F96," "),1))</f>
        <v/>
      </c>
    </row>
    <row r="97">
      <c r="A97" t="inlineStr">
        <is>
          <t>David Martinez</t>
        </is>
      </c>
      <c r="B97" t="inlineStr">
        <is>
          <t>Betty Campbell</t>
        </is>
      </c>
      <c r="C97">
        <f>IF(COUNTIF($B$90:$B$109,A97)&gt;0,"Match","No match")</f>
        <v/>
      </c>
      <c r="D97">
        <f>IF(C97="Match",A97,"")</f>
        <v/>
      </c>
      <c r="F97" t="inlineStr">
        <is>
          <t>David Martinez</t>
        </is>
      </c>
      <c r="G97">
        <f>TEXTJOIN("",TRUE,LEFT(TEXTSPLIT(F97," "),1))</f>
        <v/>
      </c>
    </row>
    <row r="98">
      <c r="A98" t="inlineStr">
        <is>
          <t>Dennis Gray</t>
        </is>
      </c>
      <c r="B98" t="inlineStr">
        <is>
          <t>Barbara Young</t>
        </is>
      </c>
      <c r="C98">
        <f>IF(COUNTIF($B$90:$B$109,A98)&gt;0,"Match","No match")</f>
        <v/>
      </c>
      <c r="D98">
        <f>IF(C98="Match",A98,"")</f>
        <v/>
      </c>
      <c r="F98" t="inlineStr">
        <is>
          <t>Dennis Gray</t>
        </is>
      </c>
      <c r="G98">
        <f>TEXTJOIN("",TRUE,LEFT(TEXTSPLIT(F98," "),1))</f>
        <v/>
      </c>
    </row>
    <row r="99">
      <c r="A99" t="inlineStr">
        <is>
          <t>Dorothy Nelson</t>
        </is>
      </c>
      <c r="B99" t="inlineStr">
        <is>
          <t>Arthur Edwards</t>
        </is>
      </c>
      <c r="C99">
        <f>IF(COUNTIF($B$90:$B$109,A99)&gt;0,"Match","No match")</f>
        <v/>
      </c>
      <c r="D99">
        <f>IF(C99="Match",A99,"")</f>
        <v/>
      </c>
      <c r="F99" t="inlineStr">
        <is>
          <t>Dorothy Nelson</t>
        </is>
      </c>
      <c r="G99">
        <f>TEXTJOIN("",TRUE,LEFT(TEXTSPLIT(F99," "),1))</f>
        <v/>
      </c>
    </row>
    <row r="100">
      <c r="A100" t="inlineStr">
        <is>
          <t>Douglas Watson</t>
        </is>
      </c>
      <c r="B100" t="inlineStr">
        <is>
          <t>Alex Example</t>
        </is>
      </c>
      <c r="C100">
        <f>IF(COUNTIF($B$90:$B$109,A100)&gt;0,"Match","No match")</f>
        <v/>
      </c>
      <c r="D100">
        <f>IF(C100="Match",A100,"")</f>
        <v/>
      </c>
      <c r="F100" t="inlineStr">
        <is>
          <t>Douglas Watson</t>
        </is>
      </c>
      <c r="G100">
        <f>TEXTJOIN("",TRUE,LEFT(TEXTSPLIT(F100," "),1))</f>
        <v/>
      </c>
    </row>
    <row r="101">
      <c r="A101" t="inlineStr">
        <is>
          <t>Edward Mitchell</t>
        </is>
      </c>
      <c r="B101" t="inlineStr"/>
      <c r="C101">
        <f>IF(COUNTIF($B$90:$B$109,A101)&gt;0,"Match","No match")</f>
        <v/>
      </c>
      <c r="D101">
        <f>IF(C101="Match",A101,"")</f>
        <v/>
      </c>
      <c r="F101" t="inlineStr">
        <is>
          <t>Edward Mitchell</t>
        </is>
      </c>
      <c r="G101">
        <f>TEXTJOIN("",TRUE,LEFT(TEXTSPLIT(F101," "),1))</f>
        <v/>
      </c>
    </row>
    <row r="102">
      <c r="A102" t="inlineStr">
        <is>
          <t>Elizabeth Hall</t>
        </is>
      </c>
      <c r="B102" t="inlineStr"/>
      <c r="C102">
        <f>IF(COUNTIF($B$90:$B$109,A102)&gt;0,"Match","No match")</f>
        <v/>
      </c>
      <c r="D102">
        <f>IF(C102="Match",A102,"")</f>
        <v/>
      </c>
      <c r="F102" t="inlineStr">
        <is>
          <t>Elizabeth Hall</t>
        </is>
      </c>
      <c r="G102">
        <f>TEXTJOIN("",TRUE,LEFT(TEXTSPLIT(F102," "),1))</f>
        <v/>
      </c>
    </row>
    <row r="103">
      <c r="A103" t="inlineStr">
        <is>
          <t>Emma Wilson</t>
        </is>
      </c>
      <c r="B103" t="inlineStr"/>
      <c r="C103">
        <f>IF(COUNTIF($B$90:$B$109,A103)&gt;0,"Match","No match")</f>
        <v/>
      </c>
      <c r="D103">
        <f>IF(C103="Match",A103,"")</f>
        <v/>
      </c>
      <c r="F103" t="inlineStr">
        <is>
          <t>Emma Wilson</t>
        </is>
      </c>
      <c r="G103">
        <f>TEXTJOIN("",TRUE,LEFT(TEXTSPLIT(F103," "),1))</f>
        <v/>
      </c>
    </row>
    <row r="104">
      <c r="A104" t="inlineStr">
        <is>
          <t>Frank Torres</t>
        </is>
      </c>
      <c r="B104" t="inlineStr"/>
      <c r="C104">
        <f>IF(COUNTIF($B$90:$B$109,A104)&gt;0,"Match","No match")</f>
        <v/>
      </c>
      <c r="D104">
        <f>IF(C104="Match",A104,"")</f>
        <v/>
      </c>
      <c r="F104" t="inlineStr">
        <is>
          <t>Frank Torres</t>
        </is>
      </c>
      <c r="G104">
        <f>TEXTJOIN("",TRUE,LEFT(TEXTSPLIT(F104," "),1))</f>
        <v/>
      </c>
    </row>
    <row r="105">
      <c r="A105" t="inlineStr">
        <is>
          <t>George Adams</t>
        </is>
      </c>
      <c r="B105" t="inlineStr"/>
      <c r="C105">
        <f>IF(COUNTIF($B$90:$B$109,A105)&gt;0,"Match","No match")</f>
        <v/>
      </c>
      <c r="D105">
        <f>IF(C105="Match",A105,"")</f>
        <v/>
      </c>
      <c r="F105" t="inlineStr">
        <is>
          <t>George Adams</t>
        </is>
      </c>
      <c r="G105">
        <f>TEXTJOIN("",TRUE,LEFT(TEXTSPLIT(F105," "),1))</f>
        <v/>
      </c>
    </row>
    <row r="106">
      <c r="A106" t="inlineStr">
        <is>
          <t>Gerald Murphy</t>
        </is>
      </c>
      <c r="B106" t="inlineStr"/>
      <c r="C106">
        <f>IF(COUNTIF($B$90:$B$109,A106)&gt;0,"Match","No match")</f>
        <v/>
      </c>
      <c r="D106">
        <f>IF(C106="Match",A106,"")</f>
        <v/>
      </c>
      <c r="F106" t="inlineStr">
        <is>
          <t>Gerald Murphy</t>
        </is>
      </c>
      <c r="G106">
        <f>TEXTJOIN("",TRUE,LEFT(TEXTSPLIT(F106," "),1))</f>
        <v/>
      </c>
    </row>
    <row r="107">
      <c r="A107" t="inlineStr">
        <is>
          <t>Harry Morgan</t>
        </is>
      </c>
      <c r="B107" t="inlineStr"/>
      <c r="C107">
        <f>IF(COUNTIF($B$90:$B$109,A107)&gt;0,"Match","No match")</f>
        <v/>
      </c>
      <c r="D107">
        <f>IF(C107="Match",A107,"")</f>
        <v/>
      </c>
      <c r="F107" t="inlineStr">
        <is>
          <t>Harry Morgan</t>
        </is>
      </c>
      <c r="G107">
        <f>TEXTJOIN("",TRUE,LEFT(TEXTSPLIT(F107," "),1))</f>
        <v/>
      </c>
    </row>
    <row r="108">
      <c r="A108" t="inlineStr">
        <is>
          <t>Helen Roberts</t>
        </is>
      </c>
      <c r="B108" t="inlineStr"/>
      <c r="C108">
        <f>IF(COUNTIF($B$90:$B$109,A108)&gt;0,"Match","No match")</f>
        <v/>
      </c>
      <c r="D108">
        <f>IF(C108="Match",A108,"")</f>
        <v/>
      </c>
      <c r="F108" t="inlineStr">
        <is>
          <t>Helen Roberts</t>
        </is>
      </c>
      <c r="G108">
        <f>TEXTJOIN("",TRUE,LEFT(TEXTSPLIT(F108," "),1))</f>
        <v/>
      </c>
    </row>
    <row r="109">
      <c r="A109" t="inlineStr">
        <is>
          <t>James Johnson</t>
        </is>
      </c>
      <c r="B109" t="inlineStr"/>
      <c r="C109">
        <f>IF(COUNTIF($B$90:$B$109,A109)&gt;0,"Match","No match")</f>
        <v/>
      </c>
      <c r="D109">
        <f>IF(C109="Match",A109,"")</f>
        <v/>
      </c>
      <c r="F109" t="inlineStr">
        <is>
          <t>James Johnson</t>
        </is>
      </c>
      <c r="G109">
        <f>TEXTJOIN("",TRUE,LEFT(TEXTSPLIT(F109," "),1))</f>
        <v/>
      </c>
    </row>
  </sheetData>
  <autoFilter ref="A43:F93"/>
  <mergeCells count="3">
    <mergeCell ref="A1:J1"/>
    <mergeCell ref="H58:J59"/>
    <mergeCell ref="A2:J2"/>
  </mergeCells>
  <conditionalFormatting sqref="B31:B35">
    <cfRule type="dataBar" priority="1">
      <dataBar showValue="1">
        <cfvo type="num" val="0"/>
        <cfvo type="max"/>
        <color rgb="005B9BD5"/>
      </dataBar>
    </cfRule>
  </conditionalFormatting>
  <conditionalFormatting sqref="G31:G40">
    <cfRule type="dataBar" priority="2">
      <dataBar showValue="1">
        <cfvo type="num" val="0"/>
        <cfvo type="max"/>
        <color rgb="0070AD47"/>
      </dataBar>
    </cfRule>
  </conditionalFormatting>
  <conditionalFormatting sqref="C31:C35">
    <cfRule type="iconSet" priority="3">
      <iconSet iconSet="3Arrows" showValue="1">
        <cfvo type="percent" val="0"/>
        <cfvo type="percent" val="33"/>
        <cfvo type="percent" val="67"/>
      </iconSet>
    </cfRule>
  </conditionalFormatting>
  <conditionalFormatting sqref="E44:E93">
    <cfRule type="dataBar" priority="4">
      <dataBar showValue="1">
        <cfvo type="min"/>
        <cfvo type="max"/>
        <color rgb="0070AD47"/>
      </dataBar>
    </cfRule>
  </conditionalFormatting>
  <conditionalFormatting sqref="C44:C93">
    <cfRule type="iconSet" priority="5">
      <iconSet iconSet="3TrafficLights1" showValue="1">
        <cfvo type="num" val="1"/>
        <cfvo type="num" val="2"/>
        <cfvo type="num" val="4"/>
      </iconSet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51"/>
  <sheetViews>
    <sheetView showGridLines="0" zoomScale="75" workbookViewId="0">
      <selection activeCell="A1" sqref="A1"/>
    </sheetView>
  </sheetViews>
  <sheetFormatPr baseColWidth="8" defaultRowHeight="15"/>
  <cols>
    <col width="24" customWidth="1" style="8" min="1" max="1"/>
    <col width="15" customWidth="1" style="8" min="2" max="2"/>
    <col width="18" customWidth="1" style="8" min="3" max="3"/>
    <col width="4" customWidth="1" style="8" min="4" max="4"/>
    <col width="4" customWidth="1" style="8" min="5" max="5"/>
    <col width="18" customWidth="1" style="8" min="6" max="6"/>
    <col width="18" customWidth="1" style="8" min="7" max="7"/>
    <col width="18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</cols>
  <sheetData>
    <row r="1" ht="34" customHeight="1" s="8">
      <c r="A1" s="33" t="inlineStr">
        <is>
          <t>SALES VISUALIZATIONS</t>
        </is>
      </c>
    </row>
    <row r="2">
      <c r="A2" s="70" t="inlineStr">
        <is>
          <t>Corrected charts with matching data ranges. Monthly labels are formatted as dates.</t>
        </is>
      </c>
    </row>
    <row r="37">
      <c r="A37" s="71" t="inlineStr">
        <is>
          <t>CHART DATA PREVIEW</t>
        </is>
      </c>
      <c r="F37" s="71" t="inlineStr">
        <is>
          <t>MONTHLY REVENUE PREVIEW</t>
        </is>
      </c>
    </row>
    <row r="38">
      <c r="A38" s="72" t="inlineStr">
        <is>
          <t>Product</t>
        </is>
      </c>
      <c r="B38" s="72" t="inlineStr">
        <is>
          <t>Units Sold</t>
        </is>
      </c>
      <c r="C38" s="72" t="inlineStr">
        <is>
          <t>Revenue</t>
        </is>
      </c>
      <c r="D38" s="72" t="inlineStr"/>
      <c r="F38" s="72" t="inlineStr">
        <is>
          <t>Month</t>
        </is>
      </c>
      <c r="G38" s="72" t="inlineStr">
        <is>
          <t>Revenue</t>
        </is>
      </c>
      <c r="H38" s="72" t="inlineStr">
        <is>
          <t>Transactions</t>
        </is>
      </c>
    </row>
    <row r="39">
      <c r="A39" s="0">
        <f>Analysis!E15</f>
        <v/>
      </c>
      <c r="B39" s="0">
        <f>Analysis!F15</f>
        <v/>
      </c>
      <c r="C39" s="44">
        <f>Analysis!G15</f>
        <v/>
      </c>
      <c r="F39" s="73">
        <f>Analysis!A15</f>
        <v/>
      </c>
      <c r="G39" s="44">
        <f>Analysis!B15</f>
        <v/>
      </c>
      <c r="H39" s="0">
        <f>Analysis!C15</f>
        <v/>
      </c>
    </row>
    <row r="40">
      <c r="A40" s="0">
        <f>Analysis!E16</f>
        <v/>
      </c>
      <c r="B40" s="0">
        <f>Analysis!F16</f>
        <v/>
      </c>
      <c r="C40" s="44">
        <f>Analysis!G16</f>
        <v/>
      </c>
      <c r="F40" s="73">
        <f>Analysis!A16</f>
        <v/>
      </c>
      <c r="G40" s="44">
        <f>Analysis!B16</f>
        <v/>
      </c>
      <c r="H40" s="0">
        <f>Analysis!C16</f>
        <v/>
      </c>
    </row>
    <row r="41">
      <c r="A41" s="0">
        <f>Analysis!E17</f>
        <v/>
      </c>
      <c r="B41" s="0">
        <f>Analysis!F17</f>
        <v/>
      </c>
      <c r="C41" s="44">
        <f>Analysis!G17</f>
        <v/>
      </c>
      <c r="F41" s="73">
        <f>Analysis!A17</f>
        <v/>
      </c>
      <c r="G41" s="44">
        <f>Analysis!B17</f>
        <v/>
      </c>
      <c r="H41" s="0">
        <f>Analysis!C17</f>
        <v/>
      </c>
    </row>
    <row r="42">
      <c r="A42" s="0">
        <f>Analysis!E18</f>
        <v/>
      </c>
      <c r="B42" s="0">
        <f>Analysis!F18</f>
        <v/>
      </c>
      <c r="C42" s="44">
        <f>Analysis!G18</f>
        <v/>
      </c>
      <c r="F42" s="73">
        <f>Analysis!A18</f>
        <v/>
      </c>
      <c r="G42" s="44">
        <f>Analysis!B18</f>
        <v/>
      </c>
      <c r="H42" s="0">
        <f>Analysis!C18</f>
        <v/>
      </c>
    </row>
    <row r="43">
      <c r="A43" s="0">
        <f>Analysis!E19</f>
        <v/>
      </c>
      <c r="B43" s="0">
        <f>Analysis!F19</f>
        <v/>
      </c>
      <c r="C43" s="44">
        <f>Analysis!G19</f>
        <v/>
      </c>
      <c r="F43" s="73">
        <f>Analysis!A19</f>
        <v/>
      </c>
      <c r="G43" s="44">
        <f>Analysis!B19</f>
        <v/>
      </c>
      <c r="H43" s="0">
        <f>Analysis!C19</f>
        <v/>
      </c>
    </row>
    <row r="44">
      <c r="A44" s="0">
        <f>Analysis!E20</f>
        <v/>
      </c>
      <c r="B44" s="0">
        <f>Analysis!F20</f>
        <v/>
      </c>
      <c r="C44" s="44">
        <f>Analysis!G20</f>
        <v/>
      </c>
      <c r="F44" s="73">
        <f>Analysis!A20</f>
        <v/>
      </c>
      <c r="G44" s="44">
        <f>Analysis!B20</f>
        <v/>
      </c>
      <c r="H44" s="0">
        <f>Analysis!C20</f>
        <v/>
      </c>
    </row>
    <row r="45">
      <c r="A45" s="0">
        <f>Analysis!E21</f>
        <v/>
      </c>
      <c r="B45" s="0">
        <f>Analysis!F21</f>
        <v/>
      </c>
      <c r="C45" s="44">
        <f>Analysis!G21</f>
        <v/>
      </c>
      <c r="F45" s="73">
        <f>Analysis!A21</f>
        <v/>
      </c>
      <c r="G45" s="44">
        <f>Analysis!B21</f>
        <v/>
      </c>
      <c r="H45" s="0">
        <f>Analysis!C21</f>
        <v/>
      </c>
    </row>
    <row r="46">
      <c r="A46" s="0">
        <f>Analysis!E22</f>
        <v/>
      </c>
      <c r="B46" s="0">
        <f>Analysis!F22</f>
        <v/>
      </c>
      <c r="C46" s="44">
        <f>Analysis!G22</f>
        <v/>
      </c>
      <c r="F46" s="73">
        <f>Analysis!A22</f>
        <v/>
      </c>
      <c r="G46" s="44">
        <f>Analysis!B22</f>
        <v/>
      </c>
      <c r="H46" s="0">
        <f>Analysis!C22</f>
        <v/>
      </c>
    </row>
    <row r="47">
      <c r="A47" s="0">
        <f>Analysis!E23</f>
        <v/>
      </c>
      <c r="B47" s="0">
        <f>Analysis!F23</f>
        <v/>
      </c>
      <c r="C47" s="44">
        <f>Analysis!G23</f>
        <v/>
      </c>
      <c r="F47" s="73">
        <f>Analysis!A23</f>
        <v/>
      </c>
      <c r="G47" s="44">
        <f>Analysis!B23</f>
        <v/>
      </c>
      <c r="H47" s="0">
        <f>Analysis!C23</f>
        <v/>
      </c>
    </row>
    <row r="48">
      <c r="A48" s="0">
        <f>Analysis!E24</f>
        <v/>
      </c>
      <c r="B48" s="0">
        <f>Analysis!F24</f>
        <v/>
      </c>
      <c r="C48" s="44">
        <f>Analysis!G24</f>
        <v/>
      </c>
      <c r="F48" s="73">
        <f>Analysis!A24</f>
        <v/>
      </c>
      <c r="G48" s="44">
        <f>Analysis!B24</f>
        <v/>
      </c>
      <c r="H48" s="0">
        <f>Analysis!C24</f>
        <v/>
      </c>
    </row>
    <row r="49">
      <c r="F49" s="73">
        <f>Analysis!A25</f>
        <v/>
      </c>
      <c r="G49" s="44">
        <f>Analysis!B25</f>
        <v/>
      </c>
      <c r="H49" s="0">
        <f>Analysis!C25</f>
        <v/>
      </c>
    </row>
    <row r="50">
      <c r="F50" s="73">
        <f>Analysis!A26</f>
        <v/>
      </c>
      <c r="G50" s="44">
        <f>Analysis!B26</f>
        <v/>
      </c>
      <c r="H50" s="0">
        <f>Analysis!C26</f>
        <v/>
      </c>
    </row>
    <row r="51">
      <c r="F51" s="73">
        <f>Analysis!A27</f>
        <v/>
      </c>
      <c r="G51" s="44">
        <f>Analysis!B27</f>
        <v/>
      </c>
      <c r="H51" s="0">
        <f>Analysis!C27</f>
        <v/>
      </c>
    </row>
  </sheetData>
  <mergeCells count="4">
    <mergeCell ref="A2:L2"/>
    <mergeCell ref="F37:H37"/>
    <mergeCell ref="A1:L1"/>
    <mergeCell ref="A37:D37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25" customWidth="1" style="8" min="2" max="2"/>
    <col width="30" customWidth="1" style="8" min="3" max="3"/>
    <col width="22" customWidth="1" style="8" min="4" max="4"/>
    <col width="20" customWidth="1" style="8" min="5" max="5"/>
  </cols>
  <sheetData>
    <row r="1" ht="34" customHeight="1" s="8">
      <c r="A1" s="33" t="inlineStr">
        <is>
          <t>WHAT-IF ANALYSIS | DISCOUNT SCENARIOS</t>
        </is>
      </c>
    </row>
    <row r="3" ht="30" customHeight="1" s="8">
      <c r="A3" s="46" t="inlineStr">
        <is>
          <t>Assumption / Metric</t>
        </is>
      </c>
      <c r="B3" s="46" t="inlineStr">
        <is>
          <t>Value</t>
        </is>
      </c>
      <c r="C3" s="46" t="inlineStr">
        <is>
          <t>Explanation</t>
        </is>
      </c>
    </row>
    <row r="4">
      <c r="A4" s="0" t="inlineStr">
        <is>
          <t>Base Revenue</t>
        </is>
      </c>
      <c r="B4" s="44">
        <f>SUM('Raw Data'!$N$2:$N$251)</f>
        <v/>
      </c>
      <c r="C4" s="0" t="inlineStr">
        <is>
          <t>Actual sales revenue from the dataset; no costs are provided.</t>
        </is>
      </c>
    </row>
    <row r="5">
      <c r="A5" s="0" t="inlineStr">
        <is>
          <t>Estimated Cost Rate</t>
        </is>
      </c>
      <c r="B5" s="23" t="n">
        <v>0.65</v>
      </c>
      <c r="C5" s="0" t="inlineStr">
        <is>
          <t>Illustrative assumption only; replace with actual cost data if available.</t>
        </is>
      </c>
    </row>
    <row r="6">
      <c r="A6" s="0" t="inlineStr">
        <is>
          <t>Discount Rate</t>
        </is>
      </c>
      <c r="B6" s="23" t="n">
        <v>0.1</v>
      </c>
      <c r="C6" s="0" t="inlineStr">
        <is>
          <t>Editable input; enter between 0% and 30%.</t>
        </is>
      </c>
    </row>
    <row r="7">
      <c r="A7" s="0" t="inlineStr">
        <is>
          <t>Revenue After Discount</t>
        </is>
      </c>
      <c r="B7" s="44">
        <f>B4*(1-B6)</f>
        <v/>
      </c>
      <c r="C7" s="0" t="inlineStr">
        <is>
          <t>Base revenue × (1 − discount rate).</t>
        </is>
      </c>
    </row>
    <row r="8">
      <c r="A8" s="0" t="inlineStr">
        <is>
          <t>Estimated Cost</t>
        </is>
      </c>
      <c r="B8" s="44">
        <f>B4*B5</f>
        <v/>
      </c>
      <c r="C8" s="0" t="inlineStr">
        <is>
          <t>Cost estimate based on assumed cost rate.</t>
        </is>
      </c>
    </row>
    <row r="9">
      <c r="A9" s="0" t="inlineStr">
        <is>
          <t>Estimated Profit Before Discount</t>
        </is>
      </c>
      <c r="B9" s="44">
        <f>B4-B8</f>
        <v/>
      </c>
      <c r="C9" s="0" t="inlineStr">
        <is>
          <t>Revenue minus estimated cost.</t>
        </is>
      </c>
    </row>
    <row r="10">
      <c r="A10" s="0" t="inlineStr">
        <is>
          <t>Estimated Profit After Discount</t>
        </is>
      </c>
      <c r="B10" s="44">
        <f>B7-B8</f>
        <v/>
      </c>
      <c r="C10" s="0" t="inlineStr">
        <is>
          <t>Simplified estimate; assumes costs do not change with discounts.</t>
        </is>
      </c>
    </row>
    <row r="11">
      <c r="A11" s="0" t="inlineStr">
        <is>
          <t>Estimated Profit Margin</t>
        </is>
      </c>
      <c r="B11" s="22">
        <f>IFERROR(B10/B7,0)</f>
        <v/>
      </c>
      <c r="C11" s="0" t="inlineStr">
        <is>
          <t>Estimated profit after discount divided by discounted revenue.</t>
        </is>
      </c>
    </row>
    <row r="14" ht="30" customHeight="1" s="8">
      <c r="A14" s="46" t="inlineStr">
        <is>
          <t>SCENARIO COMPARISON</t>
        </is>
      </c>
      <c r="B14" s="46" t="n"/>
      <c r="C14" s="46" t="n"/>
      <c r="D14" s="46" t="n"/>
    </row>
    <row r="15" ht="30" customHeight="1" s="8">
      <c r="A15" s="46" t="inlineStr">
        <is>
          <t>Discount Rate</t>
        </is>
      </c>
      <c r="B15" s="46" t="inlineStr">
        <is>
          <t>Revenue After Discount</t>
        </is>
      </c>
      <c r="C15" s="46" t="inlineStr">
        <is>
          <t>Estimated Profit</t>
        </is>
      </c>
      <c r="D15" s="46" t="inlineStr">
        <is>
          <t>Profit Margin</t>
        </is>
      </c>
    </row>
    <row r="16">
      <c r="A16" s="23" t="n">
        <v>0</v>
      </c>
      <c r="B16" s="44">
        <f>$B$4*(1-A16)</f>
        <v/>
      </c>
      <c r="C16" s="44">
        <f>B16-$B$8</f>
        <v/>
      </c>
      <c r="D16" s="22">
        <f>IFERROR(C16/B16,0)</f>
        <v/>
      </c>
    </row>
    <row r="17">
      <c r="A17" s="23" t="n">
        <v>0.05</v>
      </c>
      <c r="B17" s="44">
        <f>$B$4*(1-A17)</f>
        <v/>
      </c>
      <c r="C17" s="44">
        <f>B17-$B$8</f>
        <v/>
      </c>
      <c r="D17" s="22">
        <f>IFERROR(C17/B17,0)</f>
        <v/>
      </c>
    </row>
    <row r="18">
      <c r="A18" s="77" t="inlineStr">
        <is>
          <t>DISCOUNT SCENARIO COMPARISON</t>
        </is>
      </c>
      <c r="B18" s="44">
        <f>$B$4*(1-A18)</f>
        <v/>
      </c>
      <c r="C18" s="44">
        <f>B18-$B$8</f>
        <v/>
      </c>
      <c r="D18" s="22">
        <f>IFERROR(C18/B18,0)</f>
        <v/>
      </c>
    </row>
    <row r="19">
      <c r="A19" s="78" t="inlineStr">
        <is>
          <t>Discount Rate</t>
        </is>
      </c>
      <c r="B19" s="79" t="inlineStr">
        <is>
          <t>Revenue After Discount</t>
        </is>
      </c>
      <c r="C19" s="79" t="inlineStr">
        <is>
          <t>Assumed Cost (65% base revenue)</t>
        </is>
      </c>
      <c r="D19" s="80" t="inlineStr">
        <is>
          <t>Estimated Profit</t>
        </is>
      </c>
      <c r="E19" s="81" t="inlineStr">
        <is>
          <t>Estimated Margin</t>
        </is>
      </c>
    </row>
    <row r="20">
      <c r="A20" s="23" t="n">
        <v>0</v>
      </c>
      <c r="B20" s="44" t="n">
        <v>229192.47</v>
      </c>
      <c r="C20" s="44" t="n">
        <v>148975.1055</v>
      </c>
      <c r="D20" s="44" t="n">
        <v>80217.3645</v>
      </c>
      <c r="E20" s="22" t="n">
        <v>0.35</v>
      </c>
    </row>
    <row r="21">
      <c r="A21" s="23" t="n">
        <v>0.05</v>
      </c>
      <c r="B21" s="44" t="n">
        <v>217732.8465</v>
      </c>
      <c r="C21" s="44" t="n">
        <v>148975.1055</v>
      </c>
      <c r="D21" s="44" t="n">
        <v>68757.74099999998</v>
      </c>
      <c r="E21" s="22" t="n">
        <v>0.3157894736842105</v>
      </c>
    </row>
    <row r="22">
      <c r="A22" s="23" t="n">
        <v>0.1</v>
      </c>
      <c r="B22" s="44" t="n">
        <v>206273.223</v>
      </c>
      <c r="C22" s="44" t="n">
        <v>148975.1055</v>
      </c>
      <c r="D22" s="44" t="n">
        <v>57298.11749999999</v>
      </c>
      <c r="E22" s="22" t="n">
        <v>0.2777777777777777</v>
      </c>
    </row>
    <row r="23">
      <c r="A23" s="23" t="n">
        <v>0.15</v>
      </c>
      <c r="B23" s="44" t="n">
        <v>194813.5995</v>
      </c>
      <c r="C23" s="44" t="n">
        <v>148975.1055</v>
      </c>
      <c r="D23" s="44" t="n">
        <v>45838.49399999998</v>
      </c>
      <c r="E23" s="22" t="n">
        <v>0.2352941176470587</v>
      </c>
    </row>
    <row r="24">
      <c r="A24" s="82" t="n">
        <v>0.2</v>
      </c>
      <c r="B24" s="44" t="n">
        <v>183353.976</v>
      </c>
      <c r="C24" s="44" t="n">
        <v>148975.1055</v>
      </c>
      <c r="D24" s="44" t="n">
        <v>34378.87050000002</v>
      </c>
      <c r="E24" s="22" t="n">
        <v>0.1875000000000001</v>
      </c>
    </row>
    <row r="25">
      <c r="A25" s="83" t="n">
        <v>0.25</v>
      </c>
      <c r="B25" s="44" t="n">
        <v>171894.3525</v>
      </c>
      <c r="C25" s="44" t="n">
        <v>148975.1055</v>
      </c>
      <c r="D25" s="44" t="n">
        <v>22919.247</v>
      </c>
      <c r="E25" s="22" t="n">
        <v>0.1333333333333333</v>
      </c>
    </row>
    <row r="26">
      <c r="A26" s="23" t="n">
        <v>0.3</v>
      </c>
      <c r="B26" s="44" t="n">
        <v>160434.729</v>
      </c>
      <c r="C26" s="44" t="n">
        <v>148975.1055</v>
      </c>
      <c r="D26" s="44" t="n">
        <v>11459.62349999999</v>
      </c>
      <c r="E26" s="22" t="n">
        <v>0.07142857142857136</v>
      </c>
    </row>
    <row r="27">
      <c r="A27" s="59" t="inlineStr">
        <is>
          <t>Scenario Manager instructions</t>
        </is>
      </c>
    </row>
    <row r="28">
      <c r="A28" s="25" t="inlineStr">
        <is>
          <t>The comparison matrix is formula-driven. To create native saved scenarios: Data → What-If Analysis → Scenario Manager → Add scenarios (e.g., 0%, 10%, 20% discount) with changing cell B6.</t>
        </is>
      </c>
    </row>
    <row r="29">
      <c r="A29" s="70" t="inlineStr">
        <is>
          <t>Assumption: cost is estimated at 65% of base revenue because actual cost data is unavailable. This is an illustrative model, not actual profit.</t>
        </is>
      </c>
    </row>
    <row r="31">
      <c r="A31" s="84" t="inlineStr">
        <is>
          <t>GOAL SEEK EXAMPLE</t>
        </is>
      </c>
    </row>
    <row r="32">
      <c r="A32" t="inlineStr">
        <is>
          <t>Target estimated profit</t>
        </is>
      </c>
      <c r="B32" s="44" t="n">
        <v>45838.49400000001</v>
      </c>
    </row>
    <row r="33">
      <c r="A33" t="inlineStr">
        <is>
          <t>Required discount rate (calculated)</t>
        </is>
      </c>
      <c r="B33" s="22" t="n">
        <v>0.1499999999999999</v>
      </c>
    </row>
    <row r="34">
      <c r="A34" t="inlineStr">
        <is>
          <t>Interpretation</t>
        </is>
      </c>
      <c r="B34" s="25" t="inlineStr">
        <is>
          <t>With cost fixed at 65% of base revenue, the discount rate that reaches the target is calculated algebraically. For native Excel Goal Seek, set estimated profit to target by changing the discount-rate input.</t>
        </is>
      </c>
    </row>
    <row r="35"/>
  </sheetData>
  <mergeCells count="3">
    <mergeCell ref="A1:D1"/>
    <mergeCell ref="A29:E29"/>
    <mergeCell ref="B34:E35"/>
  </mergeCells>
  <conditionalFormatting sqref="C16:C22">
    <cfRule type="dataBar" priority="1">
      <dataBar showValue="1">
        <cfvo type="min"/>
        <cfvo type="max"/>
        <color rgb="0070AD47"/>
      </dataBar>
    </cfRule>
  </conditionalFormatting>
  <conditionalFormatting sqref="D20:D26">
    <cfRule type="dataBar" priority="2">
      <dataBar showValue="1">
        <cfvo type="min"/>
        <cfvo type="max"/>
        <color rgb="0070AD47"/>
      </dataBar>
    </cfRule>
  </conditionalFormatting>
  <dataValidations count="1">
    <dataValidation sqref="B6" showDropDown="0" showInputMessage="0" showErrorMessage="0" allowBlank="0" error="Enter a discount between 0% and 30%." prompt="Use a discount rate from 0% to 30%." type="decimal" operator="between">
      <formula1>0</formula1>
      <formula2>0.3</formula2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C26"/>
  <sheetViews>
    <sheetView showGridLines="0" workbookViewId="0">
      <selection activeCell="A1" sqref="A1"/>
    </sheetView>
  </sheetViews>
  <sheetFormatPr baseColWidth="8" defaultRowHeight="15"/>
  <cols>
    <col width="42" customWidth="1" style="8" min="1" max="1"/>
    <col width="28" customWidth="1" style="8" min="2" max="2"/>
    <col width="22" customWidth="1" style="8" min="3" max="3"/>
  </cols>
  <sheetData>
    <row r="1" ht="30" customHeight="1" s="8">
      <c r="A1" s="9" t="inlineStr">
        <is>
          <t>LINEAR REGRESSION &amp; DESCRIPTIVE STATISTICS</t>
        </is>
      </c>
    </row>
    <row r="3">
      <c r="A3" s="0" t="inlineStr">
        <is>
          <t>Regression model</t>
        </is>
      </c>
      <c r="B3" s="0" t="inlineStr">
        <is>
          <t>Revenue = Intercept + Slope × Quantity</t>
        </is>
      </c>
      <c r="C3" s="0" t="inlineStr">
        <is>
          <t>Uses transaction quantity to estimate transaction revenue.</t>
        </is>
      </c>
    </row>
    <row r="4">
      <c r="A4" s="0" t="inlineStr">
        <is>
          <t>Observations</t>
        </is>
      </c>
      <c r="B4" s="0">
        <f>COUNT('Raw Data'!$N$2:$N$251)</f>
        <v/>
      </c>
      <c r="C4" s="0" t="inlineStr">
        <is>
          <t>Number of transaction records.</t>
        </is>
      </c>
    </row>
    <row r="5">
      <c r="A5" s="0" t="inlineStr">
        <is>
          <t>Intercept</t>
        </is>
      </c>
      <c r="B5" s="44">
        <f>INTERCEPT('Raw Data'!$N$2:$N$251,'Raw Data'!$H$2:$H$251)</f>
        <v/>
      </c>
      <c r="C5" s="0" t="inlineStr">
        <is>
          <t>Estimated revenue at quantity zero; mathematical baseline.</t>
        </is>
      </c>
    </row>
    <row r="6">
      <c r="A6" s="0" t="inlineStr">
        <is>
          <t>Slope</t>
        </is>
      </c>
      <c r="B6" s="44">
        <f>SLOPE('Raw Data'!$N$2:$N$251,'Raw Data'!$H$2:$H$251)</f>
        <v/>
      </c>
      <c r="C6" s="0" t="inlineStr">
        <is>
          <t>Average change in transaction revenue per additional unit in this simple linear fit.</t>
        </is>
      </c>
    </row>
    <row r="7">
      <c r="A7" s="0" t="inlineStr">
        <is>
          <t>Correlation (r)</t>
        </is>
      </c>
      <c r="B7" s="68">
        <f>CORREL('Raw Data'!$H$2:$H$251,'Raw Data'!$N$2:$N$251)</f>
        <v/>
      </c>
      <c r="C7" s="0" t="inlineStr">
        <is>
          <t>Strength and direction of linear association.</t>
        </is>
      </c>
    </row>
    <row r="8">
      <c r="A8" s="0" t="inlineStr">
        <is>
          <t>R-squared</t>
        </is>
      </c>
      <c r="B8" s="22">
        <f>RSQ('Raw Data'!$N$2:$N$251,'Raw Data'!$H$2:$H$251)</f>
        <v/>
      </c>
      <c r="C8" s="0" t="inlineStr">
        <is>
          <t>Share of variance explained by this one-variable linear model.</t>
        </is>
      </c>
    </row>
    <row r="9">
      <c r="A9" s="0" t="inlineStr">
        <is>
          <t>Mean Revenue</t>
        </is>
      </c>
      <c r="B9" s="44">
        <f>AVERAGE('Raw Data'!$N$2:$N$251)</f>
        <v/>
      </c>
      <c r="C9" s="0" t="inlineStr">
        <is>
          <t>Average transaction revenue.</t>
        </is>
      </c>
    </row>
    <row r="10">
      <c r="A10" s="0" t="inlineStr">
        <is>
          <t>Median Revenue</t>
        </is>
      </c>
      <c r="B10" s="44">
        <f>MEDIAN('Raw Data'!$N$2:$N$251)</f>
        <v/>
      </c>
      <c r="C10" s="0" t="inlineStr">
        <is>
          <t>Middle transaction revenue.</t>
        </is>
      </c>
    </row>
    <row r="11">
      <c r="A11" s="0" t="inlineStr">
        <is>
          <t>Std. Deviation</t>
        </is>
      </c>
      <c r="B11" s="44">
        <f>STDEV.S('Raw Data'!$N$2:$N$251)</f>
        <v/>
      </c>
      <c r="C11" s="0" t="inlineStr">
        <is>
          <t>Sample standard deviation of transaction revenue.</t>
        </is>
      </c>
    </row>
    <row r="12">
      <c r="A12" s="0" t="inlineStr">
        <is>
          <t>Minimum Revenue</t>
        </is>
      </c>
      <c r="B12" s="44">
        <f>MIN('Raw Data'!$N$2:$N$251)</f>
        <v/>
      </c>
      <c r="C12" s="0" t="inlineStr">
        <is>
          <t>Smallest transaction revenue.</t>
        </is>
      </c>
    </row>
    <row r="13">
      <c r="A13" s="0" t="inlineStr">
        <is>
          <t>Maximum Revenue</t>
        </is>
      </c>
      <c r="B13" s="44">
        <f>MAX('Raw Data'!$N$2:$N$251)</f>
        <v/>
      </c>
      <c r="C13" s="0" t="inlineStr">
        <is>
          <t>Largest transaction revenue.</t>
        </is>
      </c>
    </row>
    <row r="15">
      <c r="A15" s="0" t="inlineStr">
        <is>
          <t>Interpretation</t>
        </is>
      </c>
      <c r="B15" s="25" t="inlineStr">
        <is>
          <t>R-squared indicates the share of variation in transaction revenue explained by quantity in this simple linear model; it does not establish causation.</t>
        </is>
      </c>
    </row>
    <row r="16">
      <c r="A16" s="84" t="inlineStr">
        <is>
          <t>FORMAL REGRESSION SUMMARY (computed from provided data)</t>
        </is>
      </c>
    </row>
    <row r="17">
      <c r="A17" s="10" t="inlineStr">
        <is>
          <t>Predictor</t>
        </is>
      </c>
      <c r="B17" s="25" t="inlineStr">
        <is>
          <t>Quantity</t>
        </is>
      </c>
    </row>
    <row r="18">
      <c r="A18" s="0" t="inlineStr">
        <is>
          <t>Response</t>
        </is>
      </c>
      <c r="B18" t="inlineStr">
        <is>
          <t>Total_Amount</t>
        </is>
      </c>
    </row>
    <row r="19">
      <c r="A19" s="0" t="inlineStr">
        <is>
          <t>Intercept</t>
        </is>
      </c>
      <c r="B19" s="44" t="n">
        <v>-148.8546489154178</v>
      </c>
    </row>
    <row r="20">
      <c r="A20" s="0" t="inlineStr">
        <is>
          <t>Quantity coefficient (slope)</t>
        </is>
      </c>
      <c r="B20" s="85" t="n">
        <v>353.7930042879873</v>
      </c>
    </row>
    <row r="21">
      <c r="A21" t="inlineStr">
        <is>
          <t>Correlation</t>
        </is>
      </c>
      <c r="B21" s="68" t="n">
        <v>0.4580803609323781</v>
      </c>
    </row>
    <row r="22">
      <c r="A22" t="inlineStr">
        <is>
          <t>R-squared</t>
        </is>
      </c>
      <c r="B22" s="22" t="n">
        <v>0.2098376170719378</v>
      </c>
    </row>
    <row r="23">
      <c r="A23" t="inlineStr">
        <is>
          <t>Observations</t>
        </is>
      </c>
      <c r="B23" t="n">
        <v>250</v>
      </c>
    </row>
    <row r="24">
      <c r="A24" t="inlineStr">
        <is>
          <t>Interpretation</t>
        </is>
      </c>
      <c r="B24" s="25" t="inlineStr">
        <is>
          <t>R²=21.0%: quantity explains this share of variation in transaction amount in this simple linear model. Association does not imply causation; unit price also varies.</t>
        </is>
      </c>
    </row>
    <row r="25"/>
    <row r="26"/>
  </sheetData>
  <mergeCells count="3">
    <mergeCell ref="B15:C16"/>
    <mergeCell ref="B24:C26"/>
    <mergeCell ref="A1:C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8" min="1" max="1"/>
    <col width="54" customWidth="1" style="8" min="2" max="2"/>
    <col width="76" customWidth="1" style="8" min="3" max="3"/>
  </cols>
  <sheetData>
    <row r="1" ht="34" customHeight="1" s="8">
      <c r="A1" s="33" t="inlineStr">
        <is>
          <t>REQUIRED EXCEL FUNCTIONS &amp; IMPLEMENTATION CHECKLIST</t>
        </is>
      </c>
    </row>
    <row r="3" ht="30" customHeight="1" s="8">
      <c r="A3" s="46" t="inlineStr">
        <is>
          <t>Requirement</t>
        </is>
      </c>
      <c r="B3" s="46" t="inlineStr">
        <is>
          <t>Formula / Excel feature</t>
        </is>
      </c>
      <c r="C3" s="46" t="inlineStr">
        <is>
          <t>Status and notes</t>
        </is>
      </c>
    </row>
    <row r="4" ht="38" customHeight="1" s="8">
      <c r="A4" s="61" t="inlineStr">
        <is>
          <t>TODAY</t>
        </is>
      </c>
      <c r="B4" s="62">
        <f>TODAY()</f>
        <v/>
      </c>
      <c r="C4" s="63" t="inlineStr">
        <is>
          <t>Implemented in formula examples; dynamic current date.</t>
        </is>
      </c>
    </row>
    <row r="5" ht="38" customHeight="1" s="8">
      <c r="A5" s="47" t="inlineStr">
        <is>
          <t>NOW / Timestamp</t>
        </is>
      </c>
      <c r="B5" s="0">
        <f>NOW()</f>
        <v/>
      </c>
      <c r="C5" s="25" t="inlineStr">
        <is>
          <t>NOW formulas are in Raw Data; volatile, so they update on recalculation.</t>
        </is>
      </c>
    </row>
    <row r="6" ht="38" customHeight="1" s="8">
      <c r="A6" s="61" t="inlineStr">
        <is>
          <t>DATEDIF</t>
        </is>
      </c>
      <c r="B6" s="62">
        <f>DATEDIF(M2,TODAY(),"Y")</f>
        <v/>
      </c>
      <c r="C6" s="63" t="inlineStr">
        <is>
          <t>Implemented in Raw Data tenure column.</t>
        </is>
      </c>
    </row>
    <row r="7" ht="38" customHeight="1" s="8">
      <c r="A7" s="47" t="inlineStr">
        <is>
          <t>EOMONTH</t>
        </is>
      </c>
      <c r="B7" s="0">
        <f>EOMONTH(B2,0)</f>
        <v/>
      </c>
      <c r="C7" s="25" t="inlineStr">
        <is>
          <t>Used in monthly revenue analysis.</t>
        </is>
      </c>
    </row>
    <row r="8" ht="38" customHeight="1" s="8">
      <c r="A8" s="61" t="inlineStr">
        <is>
          <t>FILTER</t>
        </is>
      </c>
      <c r="B8" s="62">
        <f>FILTER(A2:S251,K2:K251="North","No matches")</f>
        <v/>
      </c>
      <c r="C8" s="63" t="inlineStr">
        <is>
          <t>Formula example for Excel 365 / Excel 2021+.</t>
        </is>
      </c>
    </row>
    <row r="9" ht="38" customHeight="1" s="8">
      <c r="A9" s="47" t="inlineStr">
        <is>
          <t>Conditional Formatting</t>
        </is>
      </c>
      <c r="B9" s="0" t="inlineStr">
        <is>
          <t>Data bars + icon sets</t>
        </is>
      </c>
      <c r="C9" s="25" t="inlineStr">
        <is>
          <t>Applied to customer lifetime revenue and transaction counts in Analysis.</t>
        </is>
      </c>
    </row>
    <row r="10" ht="38" customHeight="1" s="8">
      <c r="A10" s="61" t="inlineStr">
        <is>
          <t>Create fixed timestamp</t>
        </is>
      </c>
      <c r="B10" s="62" t="inlineStr">
        <is>
          <t>NOW() + iterative calculation</t>
        </is>
      </c>
      <c r="C10" s="63" t="inlineStr">
        <is>
          <t>NOW is volatile; to preserve timestamp, enable iterative calculation and use a self-referencing timestamp formula.</t>
        </is>
      </c>
    </row>
    <row r="11" ht="38" customHeight="1" s="8">
      <c r="A11" s="47" t="inlineStr">
        <is>
          <t>Scenario Manager</t>
        </is>
      </c>
      <c r="B11" s="0" t="inlineStr">
        <is>
          <t>Data → What-If Analysis → Scenario Manager</t>
        </is>
      </c>
      <c r="C11" s="25" t="inlineStr">
        <is>
          <t>Scenario matrix provided; native saved scenarios must be added in desktop Excel.</t>
        </is>
      </c>
    </row>
    <row r="12" ht="38" customHeight="1" s="8">
      <c r="A12" s="61" t="inlineStr">
        <is>
          <t>Goal Seek</t>
        </is>
      </c>
      <c r="B12" s="62" t="inlineStr">
        <is>
          <t>Set B10 to target profit by changing B6</t>
        </is>
      </c>
      <c r="C12" s="63" t="inlineStr">
        <is>
          <t>Model and instructions included; execute Goal Seek in Excel for a recorded result.</t>
        </is>
      </c>
    </row>
    <row r="13" ht="38" customHeight="1" s="8">
      <c r="A13" s="47" t="inlineStr">
        <is>
          <t>Linear Regression</t>
        </is>
      </c>
      <c r="B13" s="0" t="inlineStr">
        <is>
          <t>INTERCEPT, SLOPE, CORREL, RSQ</t>
        </is>
      </c>
      <c r="C13" s="25" t="inlineStr">
        <is>
          <t>Regression formulas implemented. Native ToolPak output still needs Excel Data Analysis.</t>
        </is>
      </c>
    </row>
    <row r="14" ht="38" customHeight="1" s="8">
      <c r="A14" s="61" t="inlineStr">
        <is>
          <t>GroupBy / high-value customers</t>
        </is>
      </c>
      <c r="B14" s="62" t="inlineStr">
        <is>
          <t>COUNTIF / SUMIF by Customer ID</t>
        </is>
      </c>
      <c r="C14" s="63" t="inlineStr">
        <is>
          <t>Formula-driven customer table and Top 10 ranking included.</t>
        </is>
      </c>
    </row>
    <row r="15" ht="38" customHeight="1" s="8">
      <c r="A15" s="47" t="inlineStr">
        <is>
          <t>PivotTables</t>
        </is>
      </c>
      <c r="B15" s="0" t="inlineStr">
        <is>
          <t>Insert → PivotTable from TransactionsTable</t>
        </is>
      </c>
      <c r="C15" s="25" t="inlineStr">
        <is>
          <t>Native PivotTables are not created in this file; instructions below.</t>
        </is>
      </c>
    </row>
    <row r="16" ht="38" customHeight="1" s="8">
      <c r="A16" s="61" t="inlineStr">
        <is>
          <t>PivotCharts (bar, line, pie)</t>
        </is>
      </c>
      <c r="B16" s="62" t="inlineStr">
        <is>
          <t>Insert PivotChart from PivotTable</t>
        </is>
      </c>
      <c r="C16" s="63" t="inlineStr">
        <is>
          <t>Regular linked charts are included; create native PivotCharts in Excel if required.</t>
        </is>
      </c>
    </row>
    <row r="17" ht="38" customHeight="1" s="8">
      <c r="A17" s="47" t="inlineStr">
        <is>
          <t>Slicers and timeline</t>
        </is>
      </c>
      <c r="B17" s="0" t="inlineStr">
        <is>
          <t>PivotTable Analyze → Insert Slicer / Timeline</t>
        </is>
      </c>
      <c r="C17" s="25" t="inlineStr">
        <is>
          <t>Native interactive controls require desktop Excel.</t>
        </is>
      </c>
    </row>
    <row r="18" ht="38" customHeight="1" s="8">
      <c r="A18" s="61" t="inlineStr">
        <is>
          <t>Most frequently purchased product</t>
        </is>
      </c>
      <c r="B18" s="62" t="inlineStr">
        <is>
          <t>SUMIF quantity by Product</t>
        </is>
      </c>
      <c r="C18" s="63" t="inlineStr">
        <is>
          <t>Product units and revenue ranking included.</t>
        </is>
      </c>
    </row>
    <row r="19" ht="38" customHeight="1" s="8">
      <c r="A19" s="47" t="inlineStr">
        <is>
          <t>Compare two lists</t>
        </is>
      </c>
      <c r="B19" s="0" t="inlineStr">
        <is>
          <t>COUNTIF list comparison</t>
        </is>
      </c>
      <c r="C19" s="25" t="inlineStr">
        <is>
          <t>Sample comparison and matching-name output included in Analysis.</t>
        </is>
      </c>
    </row>
    <row r="20" ht="38" customHeight="1" s="8">
      <c r="A20" s="61" t="inlineStr">
        <is>
          <t>Abbreviations using TEXT</t>
        </is>
      </c>
      <c r="B20" s="62" t="inlineStr">
        <is>
          <t>UPPER + LEFT + MID + FIND</t>
        </is>
      </c>
      <c r="C20" s="63" t="inlineStr">
        <is>
          <t>Customer initials are calculated in Raw Data.</t>
        </is>
      </c>
    </row>
    <row r="21" ht="38" customHeight="1" s="8">
      <c r="A21" s="47" t="inlineStr">
        <is>
          <t>Final report / storytelling</t>
        </is>
      </c>
      <c r="B21" s="0" t="inlineStr">
        <is>
          <t>Dashboard with linked insights</t>
        </is>
      </c>
      <c r="C21" s="25" t="inlineStr">
        <is>
          <t>Dashboard insights are formula-driven and based on the analysis tables.</t>
        </is>
      </c>
    </row>
    <row r="24">
      <c r="A24" s="59" t="inlineStr">
        <is>
          <t>Native Excel feature setup guide</t>
        </is>
      </c>
    </row>
    <row r="25">
      <c r="A25" s="24" t="inlineStr">
        <is>
          <t>1. Select any cell in Raw Data → Insert → PivotTable → New Worksheet. Create PivotTables for product revenue, monthly revenue, regional sales, and customer revenue.</t>
        </is>
      </c>
    </row>
    <row r="26">
      <c r="A26" s="24" t="inlineStr">
        <is>
          <t>2. Select each PivotTable → PivotTable Analyze → PivotChart. Create bar, line, and pie charts. Add slicers for Region and Category, plus a timeline for Date; connect slicers to relevant PivotTables via Report Connections.</t>
        </is>
      </c>
    </row>
    <row r="27">
      <c r="A27" s="24" t="inlineStr">
        <is>
          <t>3. Add Scenario Manager scenarios and run Goal Seek using the What-If Analysis sheet. For strict regression requirement, enable Analysis ToolPak and run Data → Data Analysis → Regression.</t>
        </is>
      </c>
    </row>
  </sheetData>
  <mergeCells count="4">
    <mergeCell ref="A1:C1"/>
    <mergeCell ref="A25:C25"/>
    <mergeCell ref="A27:C27"/>
    <mergeCell ref="A26:C2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8" min="1" max="1"/>
    <col width="22" customWidth="1" style="8" min="2" max="2"/>
    <col width="62" customWidth="1" style="8" min="3" max="3"/>
    <col width="56" customWidth="1" style="8" min="4" max="4"/>
  </cols>
  <sheetData>
    <row r="1" ht="34" customHeight="1" s="8">
      <c r="A1" s="86" t="inlineStr">
        <is>
          <t>FINAL SUBMISSION REQUIREMENTS AUDIT</t>
        </is>
      </c>
    </row>
    <row r="2">
      <c r="A2" s="45" t="n"/>
    </row>
    <row r="3">
      <c r="A3" s="81" t="inlineStr">
        <is>
          <t>Requirement</t>
        </is>
      </c>
      <c r="B3" s="81" t="inlineStr">
        <is>
          <t>Status in this workbook</t>
        </is>
      </c>
      <c r="C3" s="81" t="inlineStr">
        <is>
          <t>Evidence / limitation</t>
        </is>
      </c>
      <c r="D3" s="81" t="inlineStr">
        <is>
          <t>Final action</t>
        </is>
      </c>
    </row>
    <row r="4" ht="42" customHeight="1" s="8">
      <c r="A4" s="87" t="inlineStr">
        <is>
          <t>250+ transaction dataset</t>
        </is>
      </c>
      <c r="B4" s="88" t="inlineStr">
        <is>
          <t>Complete</t>
        </is>
      </c>
      <c r="C4" s="87" t="inlineStr">
        <is>
          <t>250 rows retained</t>
        </is>
      </c>
      <c r="D4" s="87" t="inlineStr">
        <is>
          <t>None</t>
        </is>
      </c>
    </row>
    <row r="5" ht="42" customHeight="1" s="8">
      <c r="A5" s="25" t="inlineStr">
        <is>
          <t>Date/time functions TODAY, NOW, DATEDIF, EOMONTH</t>
        </is>
      </c>
      <c r="B5" s="65" t="inlineStr">
        <is>
          <t>Included</t>
        </is>
      </c>
      <c r="C5" s="25" t="inlineStr">
        <is>
          <t>Examples are in Formula Lab / Raw Data</t>
        </is>
      </c>
      <c r="D5" s="25" t="inlineStr">
        <is>
          <t>Check formulas recalculate in Excel</t>
        </is>
      </c>
    </row>
    <row r="6" ht="42" customHeight="1" s="8">
      <c r="A6" s="63" t="inlineStr">
        <is>
          <t>FILTER multi-value returns</t>
        </is>
      </c>
      <c r="B6" s="65" t="inlineStr">
        <is>
          <t>Included</t>
        </is>
      </c>
      <c r="C6" s="63" t="inlineStr">
        <is>
          <t>Dynamic FILTER formula on Pivot-Style Summaries</t>
        </is>
      </c>
      <c r="D6" s="63" t="inlineStr">
        <is>
          <t>Requires Excel 365/2021; otherwise use AutoFilter</t>
        </is>
      </c>
    </row>
    <row r="7" ht="42" customHeight="1" s="8">
      <c r="A7" s="25" t="inlineStr">
        <is>
          <t>Conditional formatting with icons/arrows</t>
        </is>
      </c>
      <c r="B7" s="65" t="inlineStr">
        <is>
          <t>Partial</t>
        </is>
      </c>
      <c r="C7" s="25" t="inlineStr">
        <is>
          <t>Data bars / color scales are present; icon sets depend on the applied ranges</t>
        </is>
      </c>
      <c r="D7" s="25" t="inlineStr">
        <is>
          <t>Verify icon-set rule in Excel</t>
        </is>
      </c>
    </row>
    <row r="8" ht="42" customHeight="1" s="8">
      <c r="A8" s="63" t="inlineStr">
        <is>
          <t>NOW timestamp and iterative calculation</t>
        </is>
      </c>
      <c r="B8" s="65" t="inlineStr">
        <is>
          <t>Included</t>
        </is>
      </c>
      <c r="C8" s="63" t="inlineStr">
        <is>
          <t>Timestamp field and workbook calculation settings</t>
        </is>
      </c>
      <c r="D8" s="63" t="inlineStr">
        <is>
          <t>NOW is volatile; use static timestamp if audit trail required</t>
        </is>
      </c>
    </row>
    <row r="9" ht="42" customHeight="1" s="8">
      <c r="A9" s="25" t="inlineStr">
        <is>
          <t>Scenario Manager saved scenarios</t>
        </is>
      </c>
      <c r="B9" s="89" t="inlineStr">
        <is>
          <t>Incomplete</t>
        </is>
      </c>
      <c r="C9" s="25" t="inlineStr">
        <is>
          <t>Scenario comparison matrix provided; not native saved Scenario Manager scenarios</t>
        </is>
      </c>
      <c r="D9" s="25" t="inlineStr">
        <is>
          <t>Create scenarios via Data &gt; What-If Analysis &gt; Scenario Manager</t>
        </is>
      </c>
    </row>
    <row r="10" ht="42" customHeight="1" s="8">
      <c r="A10" s="63" t="inlineStr">
        <is>
          <t>Goal Seek</t>
        </is>
      </c>
      <c r="B10" s="65" t="inlineStr">
        <is>
          <t>Partial</t>
        </is>
      </c>
      <c r="C10" s="63" t="inlineStr">
        <is>
          <t>Target and algebraic example included</t>
        </is>
      </c>
      <c r="D10" s="63" t="inlineStr">
        <is>
          <t>Run native Goal Seek in Excel and save result</t>
        </is>
      </c>
    </row>
    <row r="11" ht="42" customHeight="1" s="8">
      <c r="A11" s="25" t="inlineStr">
        <is>
          <t>Linear Regression ToolPak</t>
        </is>
      </c>
      <c r="B11" s="65" t="inlineStr">
        <is>
          <t>Partial</t>
        </is>
      </c>
      <c r="C11" s="25" t="inlineStr">
        <is>
          <t>OLS statistics computed from Quantity vs Total_Amount</t>
        </is>
      </c>
      <c r="D11" s="25" t="inlineStr">
        <is>
          <t>Run Data &gt; Data Analysis &gt; Regression for native ToolPak output</t>
        </is>
      </c>
    </row>
    <row r="12" ht="42" customHeight="1" s="8">
      <c r="A12" s="63" t="inlineStr">
        <is>
          <t>High-value customers / repeat buyers</t>
        </is>
      </c>
      <c r="B12" s="64" t="inlineStr">
        <is>
          <t>Complete</t>
        </is>
      </c>
      <c r="C12" s="63" t="inlineStr">
        <is>
          <t>Top 20 customer summary and repeat purchase insights</t>
        </is>
      </c>
      <c r="D12" s="63" t="inlineStr">
        <is>
          <t>None</t>
        </is>
      </c>
    </row>
    <row r="13" ht="42" customHeight="1" s="8">
      <c r="A13" s="25" t="inlineStr">
        <is>
          <t>Dashboard KPIs and insights</t>
        </is>
      </c>
      <c r="B13" s="64" t="inlineStr">
        <is>
          <t>Complete</t>
        </is>
      </c>
      <c r="C13" s="25" t="inlineStr">
        <is>
          <t>Calculated values and data-derived insight text</t>
        </is>
      </c>
      <c r="D13" s="25" t="inlineStr">
        <is>
          <t>Check display in Excel</t>
        </is>
      </c>
    </row>
    <row r="14" ht="42" customHeight="1" s="8">
      <c r="A14" s="63" t="inlineStr">
        <is>
          <t>Bar, line and pie charts</t>
        </is>
      </c>
      <c r="B14" s="64" t="inlineStr">
        <is>
          <t>Complete</t>
        </is>
      </c>
      <c r="C14" s="63" t="inlineStr">
        <is>
          <t>Six standard embedded charts</t>
        </is>
      </c>
      <c r="D14" s="63" t="inlineStr">
        <is>
          <t>Charts are regular charts, not PivotCharts</t>
        </is>
      </c>
    </row>
    <row r="15" ht="42" customHeight="1" s="8">
      <c r="A15" s="25" t="inlineStr">
        <is>
          <t>Native PivotTables</t>
        </is>
      </c>
      <c r="B15" s="89" t="inlineStr">
        <is>
          <t>Incomplete</t>
        </is>
      </c>
      <c r="C15" s="25" t="inlineStr">
        <is>
          <t>Pivot-style summary tables are provided, not native PivotTables</t>
        </is>
      </c>
      <c r="D15" s="25" t="inlineStr">
        <is>
          <t>Create native PivotTables in desktop Excel</t>
        </is>
      </c>
    </row>
    <row r="16" ht="42" customHeight="1" s="8">
      <c r="A16" s="63" t="inlineStr">
        <is>
          <t>PivotCharts</t>
        </is>
      </c>
      <c r="B16" s="89" t="inlineStr">
        <is>
          <t>Incomplete</t>
        </is>
      </c>
      <c r="C16" s="63" t="inlineStr">
        <is>
          <t>Standard charts are provided, not PivotCharts</t>
        </is>
      </c>
      <c r="D16" s="63" t="inlineStr">
        <is>
          <t>Create PivotCharts from native PivotTables</t>
        </is>
      </c>
    </row>
    <row r="17" ht="42" customHeight="1" s="8">
      <c r="A17" s="25" t="inlineStr">
        <is>
          <t>Slicers and timeline</t>
        </is>
      </c>
      <c r="B17" s="89" t="inlineStr">
        <is>
          <t>Incomplete</t>
        </is>
      </c>
      <c r="C17" s="25" t="inlineStr">
        <is>
          <t>Dropdown filters are provided as a lightweight alternative</t>
        </is>
      </c>
      <c r="D17" s="25" t="inlineStr">
        <is>
          <t>Insert native slicers and timeline in Excel</t>
        </is>
      </c>
    </row>
    <row r="18" ht="42" customHeight="1" s="8">
      <c r="A18" s="63" t="inlineStr">
        <is>
          <t>Most frequently purchased product</t>
        </is>
      </c>
      <c r="B18" s="64" t="inlineStr">
        <is>
          <t>Complete</t>
        </is>
      </c>
      <c r="C18" s="63" t="inlineStr">
        <is>
          <t>Product ranking by total quantity included</t>
        </is>
      </c>
      <c r="D18" s="63" t="inlineStr">
        <is>
          <t>None</t>
        </is>
      </c>
    </row>
    <row r="19" ht="42" customHeight="1" s="8">
      <c r="A19" s="25" t="inlineStr">
        <is>
          <t>Compare lists and extract matching names</t>
        </is>
      </c>
      <c r="B19" s="64" t="inlineStr">
        <is>
          <t>Complete</t>
        </is>
      </c>
      <c r="C19" s="25" t="inlineStr">
        <is>
          <t>Formula-based match/extract example in Analysis</t>
        </is>
      </c>
      <c r="D19" s="25" t="inlineStr">
        <is>
          <t>Review sample names if instructor expects user-provided lists</t>
        </is>
      </c>
    </row>
    <row r="20" ht="42" customHeight="1" s="8">
      <c r="A20" s="25" t="inlineStr">
        <is>
          <t>Abbreviations using TEXT functions</t>
        </is>
      </c>
      <c r="B20" s="64" t="inlineStr">
        <is>
          <t>Complete</t>
        </is>
      </c>
      <c r="C20" s="25" t="inlineStr">
        <is>
          <t>Abbreviation formula examples included</t>
        </is>
      </c>
      <c r="D20" s="25" t="inlineStr">
        <is>
          <t>Confirm compatibility of TEXTSPLIT with Excel version</t>
        </is>
      </c>
    </row>
    <row r="21" ht="42" customHeight="1" s="8">
      <c r="A21" s="25" t="inlineStr">
        <is>
          <t>Final report with storytelling</t>
        </is>
      </c>
      <c r="B21" s="64" t="inlineStr">
        <is>
          <t>Complete</t>
        </is>
      </c>
      <c r="C21" s="25" t="inlineStr">
        <is>
          <t>Final Report includes key metrics, insights, recommendations and limitations</t>
        </is>
      </c>
      <c r="D21" s="25" t="inlineStr">
        <is>
          <t>None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8" min="1" max="1"/>
    <col width="20" customWidth="1" style="8" min="2" max="2"/>
    <col width="16" customWidth="1" style="8" min="3" max="3"/>
    <col width="16" customWidth="1" style="8" min="4" max="4"/>
    <col width="22" customWidth="1" style="8" min="5" max="5"/>
    <col width="22" customWidth="1" style="8" min="6" max="6"/>
    <col width="18" customWidth="1" style="8" min="7" max="7"/>
    <col width="18" customWidth="1" style="8" min="8" max="8"/>
    <col width="18" customWidth="1" style="8" min="9" max="9"/>
    <col width="18" customWidth="1" style="8" min="10" max="10"/>
  </cols>
  <sheetData>
    <row r="1">
      <c r="A1" s="90" t="inlineStr">
        <is>
          <t>PIVOT-STYLE SUMMARIES &amp; INTERACTIVE FILTERS</t>
        </is>
      </c>
    </row>
    <row r="2" ht="30" customHeight="1" s="8">
      <c r="A2" s="91" t="inlineStr">
        <is>
          <t>Formula-backed summary tables calculated from the transaction data. Dropdown filters and FILTER output are provided; these are not native PivotTables or slicers.</t>
        </is>
      </c>
    </row>
    <row r="3"/>
    <row r="4">
      <c r="A4" s="92" t="inlineStr">
        <is>
          <t>Region filter</t>
        </is>
      </c>
      <c r="B4" s="93" t="inlineStr">
        <is>
          <t>All</t>
        </is>
      </c>
      <c r="D4" s="92" t="inlineStr">
        <is>
          <t>Category filter</t>
        </is>
      </c>
      <c r="E4" s="93" t="inlineStr">
        <is>
          <t>All</t>
        </is>
      </c>
      <c r="G4" s="92" t="inlineStr">
        <is>
          <t>Metric focus</t>
        </is>
      </c>
      <c r="H4" s="93" t="inlineStr">
        <is>
          <t>Revenue</t>
        </is>
      </c>
    </row>
    <row r="5"/>
    <row r="6">
      <c r="A6" s="94" t="inlineStr">
        <is>
          <t>PRODUCT PERFORMANCE</t>
        </is>
      </c>
      <c r="F6" s="94" t="inlineStr">
        <is>
          <t>REGIONAL PERFORMANCE</t>
        </is>
      </c>
    </row>
    <row r="7">
      <c r="A7" s="76" t="inlineStr">
        <is>
          <t>Product</t>
        </is>
      </c>
      <c r="B7" s="76" t="inlineStr">
        <is>
          <t>Revenue</t>
        </is>
      </c>
      <c r="C7" s="76" t="inlineStr">
        <is>
          <t>Units Sold</t>
        </is>
      </c>
      <c r="D7" s="76" t="inlineStr">
        <is>
          <t>Transactions</t>
        </is>
      </c>
      <c r="F7" s="76" t="inlineStr">
        <is>
          <t>Region</t>
        </is>
      </c>
      <c r="G7" s="76" t="inlineStr">
        <is>
          <t>Revenue</t>
        </is>
      </c>
      <c r="H7" s="76" t="inlineStr">
        <is>
          <t>Units Sold</t>
        </is>
      </c>
      <c r="I7" s="76" t="inlineStr">
        <is>
          <t>Transactions</t>
        </is>
      </c>
    </row>
    <row r="8">
      <c r="A8" s="95" t="inlineStr">
        <is>
          <t>Blender</t>
        </is>
      </c>
      <c r="B8" s="96" t="n">
        <v>5219.129999999997</v>
      </c>
      <c r="C8" s="95" t="n">
        <v>87</v>
      </c>
      <c r="D8" s="95" t="n">
        <v>29</v>
      </c>
      <c r="F8" s="95" t="inlineStr">
        <is>
          <t>Central</t>
        </is>
      </c>
      <c r="G8" s="96" t="n">
        <v>41288.34000000002</v>
      </c>
      <c r="H8" s="95" t="n">
        <v>166</v>
      </c>
      <c r="I8" s="95" t="n">
        <v>54</v>
      </c>
    </row>
    <row r="9">
      <c r="A9" s="95" t="inlineStr">
        <is>
          <t>Bookshelf</t>
        </is>
      </c>
      <c r="B9" s="96" t="n">
        <v>15298.97999999999</v>
      </c>
      <c r="C9" s="95" t="n">
        <v>102</v>
      </c>
      <c r="D9" s="95" t="n">
        <v>35</v>
      </c>
      <c r="F9" s="95" t="inlineStr">
        <is>
          <t>East</t>
        </is>
      </c>
      <c r="G9" s="96" t="n">
        <v>59288.38999999999</v>
      </c>
      <c r="H9" s="95" t="n">
        <v>161</v>
      </c>
      <c r="I9" s="95" t="n">
        <v>48</v>
      </c>
    </row>
    <row r="10">
      <c r="A10" s="95" t="inlineStr">
        <is>
          <t>Coffee Maker</t>
        </is>
      </c>
      <c r="B10" s="96" t="n">
        <v>3119.609999999999</v>
      </c>
      <c r="C10" s="95" t="n">
        <v>39</v>
      </c>
      <c r="D10" s="95" t="n">
        <v>14</v>
      </c>
      <c r="F10" s="95" t="inlineStr">
        <is>
          <t>North</t>
        </is>
      </c>
      <c r="G10" s="96" t="n">
        <v>50808.31000000001</v>
      </c>
      <c r="H10" s="95" t="n">
        <v>169</v>
      </c>
      <c r="I10" s="95" t="n">
        <v>59</v>
      </c>
    </row>
    <row r="11">
      <c r="A11" s="95" t="inlineStr">
        <is>
          <t>Desk</t>
        </is>
      </c>
      <c r="B11" s="96" t="n">
        <v>23399.22</v>
      </c>
      <c r="C11" s="95" t="n">
        <v>78</v>
      </c>
      <c r="D11" s="95" t="n">
        <v>26</v>
      </c>
      <c r="F11" s="95" t="inlineStr">
        <is>
          <t>South</t>
        </is>
      </c>
      <c r="G11" s="96" t="n">
        <v>36398.75000000001</v>
      </c>
      <c r="H11" s="95" t="n">
        <v>125</v>
      </c>
      <c r="I11" s="95" t="n">
        <v>42</v>
      </c>
    </row>
    <row r="12">
      <c r="A12" s="95" t="inlineStr">
        <is>
          <t>Headphones</t>
        </is>
      </c>
      <c r="B12" s="96" t="n">
        <v>7049.529999999999</v>
      </c>
      <c r="C12" s="95" t="n">
        <v>47</v>
      </c>
      <c r="D12" s="95" t="n">
        <v>16</v>
      </c>
      <c r="F12" s="95" t="inlineStr">
        <is>
          <t>West</t>
        </is>
      </c>
      <c r="G12" s="96" t="n">
        <v>41408.68000000001</v>
      </c>
      <c r="H12" s="95" t="n">
        <v>132</v>
      </c>
      <c r="I12" s="95" t="n">
        <v>47</v>
      </c>
    </row>
    <row r="13">
      <c r="A13" s="95" t="inlineStr">
        <is>
          <t>Keyboard</t>
        </is>
      </c>
      <c r="B13" s="96" t="n">
        <v>8009.109999999997</v>
      </c>
      <c r="C13" s="95" t="n">
        <v>89</v>
      </c>
      <c r="D13" s="95" t="n">
        <v>34</v>
      </c>
    </row>
    <row r="14">
      <c r="A14" s="95" t="inlineStr">
        <is>
          <t>Laptop</t>
        </is>
      </c>
      <c r="B14" s="96" t="n">
        <v>67499.25</v>
      </c>
      <c r="C14" s="95" t="n">
        <v>75</v>
      </c>
      <c r="D14" s="95" t="n">
        <v>24</v>
      </c>
    </row>
    <row r="15">
      <c r="A15" s="95" t="inlineStr">
        <is>
          <t>Monitor</t>
        </is>
      </c>
      <c r="B15" s="96" t="n">
        <v>21999.12</v>
      </c>
      <c r="C15" s="95" t="n">
        <v>88</v>
      </c>
      <c r="D15" s="95" t="n">
        <v>26</v>
      </c>
    </row>
    <row r="16">
      <c r="A16" s="95" t="inlineStr">
        <is>
          <t>Office Chair</t>
        </is>
      </c>
      <c r="B16" s="96" t="n">
        <v>10399.48</v>
      </c>
      <c r="C16" s="95" t="n">
        <v>52</v>
      </c>
      <c r="D16" s="95" t="n">
        <v>15</v>
      </c>
    </row>
    <row r="17">
      <c r="A17" s="95" t="inlineStr">
        <is>
          <t>Smartphone</t>
        </is>
      </c>
      <c r="B17" s="96" t="n">
        <v>67199.03999999999</v>
      </c>
      <c r="C17" s="95" t="n">
        <v>96</v>
      </c>
      <c r="D17" s="95" t="n">
        <v>31</v>
      </c>
    </row>
    <row r="18"/>
    <row r="19"/>
    <row r="20"/>
    <row r="21"/>
    <row r="22">
      <c r="A22" s="94" t="inlineStr">
        <is>
          <t>MONTHLY PERFORMANCE</t>
        </is>
      </c>
      <c r="F22" s="94" t="inlineStr">
        <is>
          <t>CATEGORY PERFORMANCE</t>
        </is>
      </c>
    </row>
    <row r="23">
      <c r="A23" s="76" t="inlineStr">
        <is>
          <t>Month</t>
        </is>
      </c>
      <c r="B23" s="76" t="inlineStr">
        <is>
          <t>Revenue</t>
        </is>
      </c>
      <c r="C23" s="76" t="inlineStr">
        <is>
          <t>Transactions</t>
        </is>
      </c>
      <c r="D23" s="76" t="inlineStr">
        <is>
          <t>Units Sold</t>
        </is>
      </c>
      <c r="F23" s="76" t="inlineStr">
        <is>
          <t>Category</t>
        </is>
      </c>
      <c r="G23" s="76" t="inlineStr">
        <is>
          <t>Revenue</t>
        </is>
      </c>
      <c r="H23" s="76" t="inlineStr">
        <is>
          <t>Units Sold</t>
        </is>
      </c>
      <c r="I23" s="76" t="inlineStr">
        <is>
          <t>Transactions</t>
        </is>
      </c>
    </row>
    <row r="24">
      <c r="A24" s="97" t="n">
        <v>45383</v>
      </c>
      <c r="B24" s="96" t="n">
        <v>20919.33</v>
      </c>
      <c r="C24" s="95" t="n">
        <v>21</v>
      </c>
      <c r="D24" s="95" t="n">
        <v>67</v>
      </c>
      <c r="F24" s="95" t="inlineStr">
        <is>
          <t>Appliances</t>
        </is>
      </c>
      <c r="G24" s="96" t="n">
        <v>8338.739999999996</v>
      </c>
      <c r="H24" s="95" t="n">
        <v>126</v>
      </c>
      <c r="I24" s="95" t="n">
        <v>43</v>
      </c>
    </row>
    <row r="25">
      <c r="A25" s="97" t="n">
        <v>45413</v>
      </c>
      <c r="B25" s="96" t="n">
        <v>17039.35</v>
      </c>
      <c r="C25" s="95" t="n">
        <v>19</v>
      </c>
      <c r="D25" s="95" t="n">
        <v>65</v>
      </c>
      <c r="F25" s="95" t="inlineStr">
        <is>
          <t>Electronics</t>
        </is>
      </c>
      <c r="G25" s="96" t="n">
        <v>171756.0500000001</v>
      </c>
      <c r="H25" s="95" t="n">
        <v>395</v>
      </c>
      <c r="I25" s="95" t="n">
        <v>131</v>
      </c>
    </row>
    <row r="26">
      <c r="A26" s="97" t="n">
        <v>45444</v>
      </c>
      <c r="B26" s="96" t="n">
        <v>19299.45</v>
      </c>
      <c r="C26" s="95" t="n">
        <v>19</v>
      </c>
      <c r="D26" s="95" t="n">
        <v>55</v>
      </c>
      <c r="F26" s="95" t="inlineStr">
        <is>
          <t>Furniture</t>
        </is>
      </c>
      <c r="G26" s="96" t="n">
        <v>49097.68000000001</v>
      </c>
      <c r="H26" s="95" t="n">
        <v>232</v>
      </c>
      <c r="I26" s="95" t="n">
        <v>76</v>
      </c>
    </row>
    <row r="27">
      <c r="A27" s="97" t="n">
        <v>45474</v>
      </c>
      <c r="B27" s="96" t="n">
        <v>18479.39999999999</v>
      </c>
      <c r="C27" s="95" t="n">
        <v>24</v>
      </c>
      <c r="D27" s="95" t="n">
        <v>60</v>
      </c>
    </row>
    <row r="28">
      <c r="A28" s="97" t="n">
        <v>45505</v>
      </c>
      <c r="B28" s="96" t="n">
        <v>15759.43</v>
      </c>
      <c r="C28" s="95" t="n">
        <v>18</v>
      </c>
      <c r="D28" s="95" t="n">
        <v>57</v>
      </c>
    </row>
    <row r="29">
      <c r="A29" s="97" t="n">
        <v>45536</v>
      </c>
      <c r="B29" s="96" t="n">
        <v>12989.51</v>
      </c>
      <c r="C29" s="95" t="n">
        <v>19</v>
      </c>
      <c r="D29" s="95" t="n">
        <v>49</v>
      </c>
    </row>
    <row r="30">
      <c r="A30" s="97" t="n">
        <v>45566</v>
      </c>
      <c r="B30" s="96" t="n">
        <v>20609.52</v>
      </c>
      <c r="C30" s="95" t="n">
        <v>16</v>
      </c>
      <c r="D30" s="95" t="n">
        <v>48</v>
      </c>
    </row>
    <row r="31">
      <c r="A31" s="97" t="n">
        <v>45597</v>
      </c>
      <c r="B31" s="96" t="n">
        <v>12309.44</v>
      </c>
      <c r="C31" s="95" t="n">
        <v>17</v>
      </c>
      <c r="D31" s="95" t="n">
        <v>56</v>
      </c>
    </row>
    <row r="32">
      <c r="A32" s="97" t="n">
        <v>45627</v>
      </c>
      <c r="B32" s="96" t="n">
        <v>23039.3</v>
      </c>
      <c r="C32" s="95" t="n">
        <v>25</v>
      </c>
      <c r="D32" s="95" t="n">
        <v>70</v>
      </c>
    </row>
    <row r="33">
      <c r="A33" s="97" t="n">
        <v>45658</v>
      </c>
      <c r="B33" s="96" t="n">
        <v>25799.15</v>
      </c>
      <c r="C33" s="95" t="n">
        <v>26</v>
      </c>
      <c r="D33" s="95" t="n">
        <v>85</v>
      </c>
    </row>
    <row r="34">
      <c r="A34" s="97" t="n">
        <v>45689</v>
      </c>
      <c r="B34" s="96" t="n">
        <v>16069.38</v>
      </c>
      <c r="C34" s="95" t="n">
        <v>20</v>
      </c>
      <c r="D34" s="95" t="n">
        <v>62</v>
      </c>
    </row>
    <row r="35">
      <c r="A35" s="98" t="inlineStr">
        <is>
          <t>TOP 20 CUSTOMERS</t>
        </is>
      </c>
      <c r="B35" s="96" t="n">
        <v>19899.38</v>
      </c>
      <c r="C35" s="95" t="n">
        <v>19</v>
      </c>
      <c r="D35" s="95" t="n">
        <v>62</v>
      </c>
      <c r="F35" s="94" t="inlineStr">
        <is>
          <t>FILTERED TRANSACTIONS (Excel 365)</t>
        </is>
      </c>
    </row>
    <row r="36">
      <c r="A36" s="99" t="inlineStr">
        <is>
          <t>Customer ID</t>
        </is>
      </c>
      <c r="B36" s="100" t="inlineStr">
        <is>
          <t>Customer Name</t>
        </is>
      </c>
      <c r="C36" s="76" t="inlineStr">
        <is>
          <t>Revenue</t>
        </is>
      </c>
      <c r="D36" s="76" t="inlineStr">
        <is>
          <t>Transactions</t>
        </is>
      </c>
      <c r="E36" s="76" t="inlineStr">
        <is>
          <t>Units</t>
        </is>
      </c>
      <c r="F36" s="76" t="inlineStr">
        <is>
          <t>Transaction ID</t>
        </is>
      </c>
      <c r="G36" s="76" t="inlineStr">
        <is>
          <t>Date</t>
        </is>
      </c>
      <c r="H36" s="76" t="inlineStr">
        <is>
          <t>Customer</t>
        </is>
      </c>
      <c r="I36" s="76" t="inlineStr">
        <is>
          <t>Product</t>
        </is>
      </c>
      <c r="J36" s="76" t="inlineStr">
        <is>
          <t>Category</t>
        </is>
      </c>
      <c r="K36" s="76" t="inlineStr">
        <is>
          <t>Region</t>
        </is>
      </c>
      <c r="L36" s="76" t="inlineStr">
        <is>
          <t>Revenue</t>
        </is>
      </c>
    </row>
    <row r="37">
      <c r="A37" s="95" t="inlineStr">
        <is>
          <t>CUST025</t>
        </is>
      </c>
      <c r="B37" s="95" t="inlineStr">
        <is>
          <t>Mark Carter</t>
        </is>
      </c>
      <c r="C37" s="96" t="n">
        <v>15659.65</v>
      </c>
      <c r="D37" s="95" t="n">
        <v>12</v>
      </c>
      <c r="E37" s="95" t="n">
        <v>35</v>
      </c>
      <c r="F37" s="95">
        <f>FILTER(CHOOSE({1,2,3,4,5,6,7},'Raw Data'!A2:A251,'Raw Data'!B2:B251,'Raw Data'!D2:D251,'Raw Data'!F2:F251,'Raw Data'!G2:G251,'Raw Data'!K2:K251,'Raw Data'!N2:N251),(IF($B$4="All",1,'Raw Data'!K2:K251=$B$4))*(IF($E$4="All",1,'Raw Data'!G2:G251=$E$4)),"No matching rows")</f>
        <v/>
      </c>
    </row>
    <row r="38">
      <c r="A38" s="95" t="inlineStr">
        <is>
          <t>CUST029</t>
        </is>
      </c>
      <c r="B38" s="95" t="inlineStr">
        <is>
          <t>Edward Mitchell</t>
        </is>
      </c>
      <c r="C38" s="96" t="n">
        <v>11919.77</v>
      </c>
      <c r="D38" s="95" t="n">
        <v>6</v>
      </c>
      <c r="E38" s="95" t="n">
        <v>23</v>
      </c>
    </row>
    <row r="39">
      <c r="A39" s="95" t="inlineStr">
        <is>
          <t>CUST018</t>
        </is>
      </c>
      <c r="B39" s="95" t="inlineStr">
        <is>
          <t>Barbara Young</t>
        </is>
      </c>
      <c r="C39" s="96" t="n">
        <v>10649.8</v>
      </c>
      <c r="D39" s="95" t="n">
        <v>5</v>
      </c>
      <c r="E39" s="95" t="n">
        <v>20</v>
      </c>
    </row>
    <row r="40">
      <c r="A40" s="95" t="inlineStr">
        <is>
          <t>CUST012</t>
        </is>
      </c>
      <c r="B40" s="95" t="inlineStr">
        <is>
          <t>Patricia Moore</t>
        </is>
      </c>
      <c r="C40" s="96" t="n">
        <v>9799.73</v>
      </c>
      <c r="D40" s="95" t="n">
        <v>8</v>
      </c>
      <c r="E40" s="95" t="n">
        <v>27</v>
      </c>
    </row>
    <row r="41">
      <c r="A41" s="95" t="inlineStr">
        <is>
          <t>CUST023</t>
        </is>
      </c>
      <c r="B41" s="95" t="inlineStr">
        <is>
          <t>Paul Baker</t>
        </is>
      </c>
      <c r="C41" s="96" t="n">
        <v>8309.739999999998</v>
      </c>
      <c r="D41" s="95" t="n">
        <v>8</v>
      </c>
      <c r="E41" s="95" t="n">
        <v>26</v>
      </c>
    </row>
    <row r="42">
      <c r="A42" s="95" t="inlineStr">
        <is>
          <t>CUST024</t>
        </is>
      </c>
      <c r="B42" s="95" t="inlineStr">
        <is>
          <t>Dorothy Nelson</t>
        </is>
      </c>
      <c r="C42" s="96" t="n">
        <v>8269.790000000001</v>
      </c>
      <c r="D42" s="95" t="n">
        <v>6</v>
      </c>
      <c r="E42" s="95" t="n">
        <v>21</v>
      </c>
    </row>
    <row r="43">
      <c r="A43" s="95" t="inlineStr">
        <is>
          <t>CUST026</t>
        </is>
      </c>
      <c r="B43" s="95" t="inlineStr">
        <is>
          <t>Karen Hill</t>
        </is>
      </c>
      <c r="C43" s="96" t="n">
        <v>8009.77</v>
      </c>
      <c r="D43" s="95" t="n">
        <v>8</v>
      </c>
      <c r="E43" s="95" t="n">
        <v>23</v>
      </c>
    </row>
    <row r="44">
      <c r="A44" s="95" t="inlineStr">
        <is>
          <t>CUST019</t>
        </is>
      </c>
      <c r="B44" s="95" t="inlineStr">
        <is>
          <t>Daniel King</t>
        </is>
      </c>
      <c r="C44" s="96" t="n">
        <v>7309.799999999999</v>
      </c>
      <c r="D44" s="95" t="n">
        <v>7</v>
      </c>
      <c r="E44" s="95" t="n">
        <v>20</v>
      </c>
    </row>
    <row r="45">
      <c r="A45" s="95" t="inlineStr">
        <is>
          <t>CUST039</t>
        </is>
      </c>
      <c r="B45" s="95" t="inlineStr">
        <is>
          <t>Lawrence Reed</t>
        </is>
      </c>
      <c r="C45" s="96" t="n">
        <v>6989.769999999999</v>
      </c>
      <c r="D45" s="95" t="n">
        <v>8</v>
      </c>
      <c r="E45" s="95" t="n">
        <v>23</v>
      </c>
    </row>
    <row r="46">
      <c r="A46" s="95" t="inlineStr">
        <is>
          <t>CUST013</t>
        </is>
      </c>
      <c r="B46" s="95" t="inlineStr">
        <is>
          <t>Joseph Jackson</t>
        </is>
      </c>
      <c r="C46" s="96" t="n">
        <v>6949.84</v>
      </c>
      <c r="D46" s="95" t="n">
        <v>5</v>
      </c>
      <c r="E46" s="95" t="n">
        <v>16</v>
      </c>
    </row>
    <row r="47">
      <c r="A47" s="95" t="inlineStr">
        <is>
          <t>CUST030</t>
        </is>
      </c>
      <c r="B47" s="95" t="inlineStr">
        <is>
          <t>Helen Roberts</t>
        </is>
      </c>
      <c r="C47" s="96" t="n">
        <v>6459.79</v>
      </c>
      <c r="D47" s="95" t="n">
        <v>7</v>
      </c>
      <c r="E47" s="95" t="n">
        <v>21</v>
      </c>
    </row>
    <row r="48">
      <c r="A48" s="95" t="inlineStr">
        <is>
          <t>CUST047</t>
        </is>
      </c>
      <c r="B48" s="95" t="inlineStr">
        <is>
          <t>Gerald Murphy</t>
        </is>
      </c>
      <c r="C48" s="96" t="n">
        <v>6379.87</v>
      </c>
      <c r="D48" s="95" t="n">
        <v>4</v>
      </c>
      <c r="E48" s="95" t="n">
        <v>13</v>
      </c>
    </row>
    <row r="49">
      <c r="A49" s="95" t="inlineStr">
        <is>
          <t>CUST032</t>
        </is>
      </c>
      <c r="B49" s="95" t="inlineStr">
        <is>
          <t>Sandra Phillips</t>
        </is>
      </c>
      <c r="C49" s="96" t="n">
        <v>6349.83</v>
      </c>
      <c r="D49" s="95" t="n">
        <v>5</v>
      </c>
      <c r="E49" s="95" t="n">
        <v>17</v>
      </c>
    </row>
    <row r="50">
      <c r="A50" s="95" t="inlineStr">
        <is>
          <t>CUST003</t>
        </is>
      </c>
      <c r="B50" s="95" t="inlineStr">
        <is>
          <t>Michael Brown</t>
        </is>
      </c>
      <c r="C50" s="96" t="n">
        <v>6169.740000000001</v>
      </c>
      <c r="D50" s="95" t="n">
        <v>9</v>
      </c>
      <c r="E50" s="95" t="n">
        <v>26</v>
      </c>
    </row>
    <row r="51">
      <c r="A51" s="95" t="inlineStr">
        <is>
          <t>CUST041</t>
        </is>
      </c>
      <c r="B51" s="95" t="inlineStr">
        <is>
          <t>Peter Richardson</t>
        </is>
      </c>
      <c r="C51" s="96" t="n">
        <v>5949.85</v>
      </c>
      <c r="D51" s="95" t="n">
        <v>5</v>
      </c>
      <c r="E51" s="95" t="n">
        <v>15</v>
      </c>
    </row>
    <row r="52">
      <c r="A52" s="95" t="inlineStr">
        <is>
          <t>CUST028</t>
        </is>
      </c>
      <c r="B52" s="95" t="inlineStr">
        <is>
          <t>Betty Campbell</t>
        </is>
      </c>
      <c r="C52" s="96" t="n">
        <v>5649.84</v>
      </c>
      <c r="D52" s="95" t="n">
        <v>5</v>
      </c>
      <c r="E52" s="95" t="n">
        <v>16</v>
      </c>
    </row>
    <row r="53">
      <c r="A53" s="95" t="inlineStr">
        <is>
          <t>CUST040</t>
        </is>
      </c>
      <c r="B53" s="95" t="inlineStr">
        <is>
          <t>Sharon Butler</t>
        </is>
      </c>
      <c r="C53" s="96" t="n">
        <v>5619.869999999999</v>
      </c>
      <c r="D53" s="95" t="n">
        <v>6</v>
      </c>
      <c r="E53" s="95" t="n">
        <v>13</v>
      </c>
    </row>
    <row r="54">
      <c r="A54" s="95" t="inlineStr">
        <is>
          <t>CUST035</t>
        </is>
      </c>
      <c r="B54" s="95" t="inlineStr">
        <is>
          <t>Harry Morgan</t>
        </is>
      </c>
      <c r="C54" s="96" t="n">
        <v>5519.889999999999</v>
      </c>
      <c r="D54" s="95" t="n">
        <v>4</v>
      </c>
      <c r="E54" s="95" t="n">
        <v>11</v>
      </c>
    </row>
    <row r="55">
      <c r="A55" s="95" t="inlineStr">
        <is>
          <t>CUST004</t>
        </is>
      </c>
      <c r="B55" s="95" t="inlineStr">
        <is>
          <t>Sarah Davis</t>
        </is>
      </c>
      <c r="C55" s="96" t="n">
        <v>5499.809999999999</v>
      </c>
      <c r="D55" s="95" t="n">
        <v>5</v>
      </c>
      <c r="E55" s="95" t="n">
        <v>19</v>
      </c>
    </row>
    <row r="56">
      <c r="A56" s="95" t="inlineStr">
        <is>
          <t>CUST017</t>
        </is>
      </c>
      <c r="B56" s="95" t="inlineStr">
        <is>
          <t>Charles Allen</t>
        </is>
      </c>
      <c r="C56" s="96" t="n">
        <v>5089.73</v>
      </c>
      <c r="D56" s="95" t="n">
        <v>9</v>
      </c>
      <c r="E56" s="95" t="n">
        <v>27</v>
      </c>
    </row>
  </sheetData>
  <mergeCells count="2">
    <mergeCell ref="A1:J1"/>
    <mergeCell ref="A2:J2"/>
  </mergeCells>
  <conditionalFormatting sqref="B8:B20">
    <cfRule type="dataBar" priority="1">
      <dataBar showValue="1">
        <cfvo type="min"/>
        <cfvo type="max"/>
        <color rgb="0070AD47"/>
      </dataBar>
    </cfRule>
  </conditionalFormatting>
  <conditionalFormatting sqref="G8:G13">
    <cfRule type="dataBar" priority="2">
      <dataBar showValue="1">
        <cfvo type="min"/>
        <cfvo type="max"/>
        <color rgb="004472C4"/>
      </dataBar>
    </cfRule>
  </conditionalFormatting>
  <dataValidations count="3">
    <dataValidation sqref="B4" showDropDown="0" showInputMessage="0" showErrorMessage="0" allowBlank="0" type="list">
      <formula1>"All,Central,East,North,South,West"</formula1>
    </dataValidation>
    <dataValidation sqref="E4" showDropDown="0" showInputMessage="0" showErrorMessage="0" allowBlank="0" type="list">
      <formula1>"All,Appliances,Electronics,Furniture"</formula1>
    </dataValidation>
    <dataValidation sqref="H4" showDropDown="0" showInputMessage="0" showErrorMessage="0" allowBlank="0" type="list">
      <formula1>"Revenue,Quantity,Transactions"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85" workbookViewId="0">
      <selection activeCell="A1" sqref="A1"/>
    </sheetView>
  </sheetViews>
  <sheetFormatPr baseColWidth="8" defaultRowHeight="15"/>
  <cols>
    <col width="32" customWidth="1" style="8" min="1" max="1"/>
    <col width="24" customWidth="1" style="8" min="2" max="2"/>
    <col width="78" customWidth="1" style="8" min="3" max="3"/>
    <col width="18" customWidth="1" style="8" min="4" max="4"/>
    <col width="18" customWidth="1" style="8" min="5" max="5"/>
    <col width="18" customWidth="1" style="8" min="6" max="6"/>
  </cols>
  <sheetData>
    <row r="1">
      <c r="A1" s="101" t="inlineStr">
        <is>
          <t>FINAL REPORT — DATA INTELLIGENCE DASHBOARD</t>
        </is>
      </c>
    </row>
    <row r="2" ht="32" customHeight="1" s="8">
      <c r="A2" s="70" t="inlineStr">
        <is>
          <t>Scope: 250 customer transactions from the provided dataset. Revenue means Total_Amount; no cost data was supplied, so profit is not asserted.</t>
        </is>
      </c>
    </row>
    <row r="4">
      <c r="A4" s="72" t="inlineStr">
        <is>
          <t>Metric</t>
        </is>
      </c>
      <c r="B4" s="72" t="inlineStr">
        <is>
          <t>Result</t>
        </is>
      </c>
      <c r="C4" s="72" t="inlineStr">
        <is>
          <t>Interpretation</t>
        </is>
      </c>
    </row>
    <row r="5">
      <c r="A5" t="inlineStr">
        <is>
          <t>Total revenue</t>
        </is>
      </c>
      <c r="B5" s="44" t="n">
        <v>229192.47</v>
      </c>
      <c r="C5" t="inlineStr">
        <is>
          <t>Sum of Total_Amount across all transactions.</t>
        </is>
      </c>
    </row>
    <row r="6">
      <c r="A6" t="inlineStr">
        <is>
          <t>Transactions</t>
        </is>
      </c>
      <c r="B6" t="n">
        <v>250</v>
      </c>
      <c r="C6" t="inlineStr">
        <is>
          <t>Count of transaction records.</t>
        </is>
      </c>
    </row>
    <row r="7">
      <c r="A7" t="inlineStr">
        <is>
          <t>Units sold</t>
        </is>
      </c>
      <c r="B7" t="n">
        <v>753</v>
      </c>
      <c r="C7" t="inlineStr">
        <is>
          <t>Sum of Quantity across all transactions.</t>
        </is>
      </c>
    </row>
    <row r="8">
      <c r="A8" t="inlineStr">
        <is>
          <t>Average transaction value</t>
        </is>
      </c>
      <c r="B8" s="44" t="n">
        <v>916.7698800000001</v>
      </c>
      <c r="C8" t="inlineStr">
        <is>
          <t>Total revenue divided by transaction count.</t>
        </is>
      </c>
    </row>
    <row r="9">
      <c r="A9" t="inlineStr">
        <is>
          <t>Unique customers</t>
        </is>
      </c>
      <c r="B9" t="n">
        <v>50</v>
      </c>
      <c r="C9" t="inlineStr">
        <is>
          <t>Distinct Customer_ID values.</t>
        </is>
      </c>
    </row>
    <row r="10">
      <c r="A10" t="inlineStr">
        <is>
          <t>Highest revenue product</t>
        </is>
      </c>
      <c r="B10" t="inlineStr">
        <is>
          <t>Laptop</t>
        </is>
      </c>
      <c r="C10" t="inlineStr">
        <is>
          <t>Generated $67,499.25 in revenue.</t>
        </is>
      </c>
    </row>
    <row r="11">
      <c r="A11" t="inlineStr">
        <is>
          <t>Most frequently purchased product</t>
        </is>
      </c>
      <c r="B11" t="inlineStr">
        <is>
          <t>Bookshelf</t>
        </is>
      </c>
      <c r="C11" t="inlineStr">
        <is>
          <t>Highest total quantity: 102 units.</t>
        </is>
      </c>
    </row>
    <row r="12">
      <c r="A12" t="inlineStr">
        <is>
          <t>Leading region</t>
        </is>
      </c>
      <c r="B12" t="inlineStr">
        <is>
          <t>East</t>
        </is>
      </c>
      <c r="C12" t="inlineStr">
        <is>
          <t>Generated $59,288.39 in revenue.</t>
        </is>
      </c>
    </row>
    <row r="13">
      <c r="A13" t="inlineStr">
        <is>
          <t>Leading category</t>
        </is>
      </c>
      <c r="B13" t="inlineStr">
        <is>
          <t>Electronics</t>
        </is>
      </c>
      <c r="C13" t="inlineStr">
        <is>
          <t>Generated $171,756.05 in revenue.</t>
        </is>
      </c>
    </row>
    <row r="14">
      <c r="A14" t="inlineStr">
        <is>
          <t>Top customer</t>
        </is>
      </c>
      <c r="B14" t="inlineStr">
        <is>
          <t>Mark Carter</t>
        </is>
      </c>
      <c r="C14" t="inlineStr">
        <is>
          <t>Customer CUST025 generated $15,659.65.</t>
        </is>
      </c>
    </row>
    <row r="15">
      <c r="A15" t="inlineStr">
        <is>
          <t>Repeat customers</t>
        </is>
      </c>
      <c r="B15" t="n">
        <v>47</v>
      </c>
      <c r="C15" t="inlineStr">
        <is>
          <t>Customers with more than one transaction.</t>
        </is>
      </c>
    </row>
    <row r="18">
      <c r="A18" s="84" t="inlineStr">
        <is>
          <t>STORYTELLING &amp; RECOMMENDATIONS</t>
        </is>
      </c>
    </row>
    <row r="19" ht="34" customHeight="1" s="8">
      <c r="A19" s="25" t="inlineStr">
        <is>
          <t>1. Revenue totals $229,192.47 from 250 transactions, with an average transaction value of $916.77.</t>
        </is>
      </c>
    </row>
    <row r="20" ht="34" customHeight="1" s="8">
      <c r="A20" s="25" t="inlineStr">
        <is>
          <t>2. Laptop is the top product by revenue ($67,499.25); Bookshelf is the most frequently purchased product by units (102). These are different metrics and should not be confused.</t>
        </is>
      </c>
    </row>
    <row r="21" ht="34" customHeight="1" s="8">
      <c r="A21" s="25" t="inlineStr">
        <is>
          <t>3. East is the leading region by revenue ($59,288.39). Consider comparing regional product mix before changing inventory or marketing spend.</t>
        </is>
      </c>
    </row>
    <row r="22" ht="34" customHeight="1" s="8">
      <c r="A22" s="25" t="inlineStr">
        <is>
          <t>4. Electronics leads categories by revenue ($171,756.05). Use this as a starting point for category-level promotion analysis.</t>
        </is>
      </c>
    </row>
    <row r="23" ht="34" customHeight="1" s="8">
      <c r="A23" s="25" t="inlineStr">
        <is>
          <t>5. 47 of 50 unique customers made repeat purchases. Consider loyalty campaigns for repeat buyers and targeted re-engagement for one-time buyers.</t>
        </is>
      </c>
    </row>
    <row r="24" ht="34" customHeight="1" s="8">
      <c r="A24" s="25" t="inlineStr">
        <is>
          <t>6. Revenue is not profit: the dataset does not contain cost of goods sold, returns, or operating expenses. Any profit scenario in this workbook is explicitly assumption-based.</t>
        </is>
      </c>
    </row>
    <row r="25" ht="34" customHeight="1" s="8">
      <c r="A25" s="25" t="inlineStr">
        <is>
          <t>7. Before making operational decisions, verify the transaction date range, data quality, and whether revenue is gross or net of discounts.</t>
        </is>
      </c>
    </row>
  </sheetData>
  <mergeCells count="10">
    <mergeCell ref="A24:F24"/>
    <mergeCell ref="A2:F2"/>
    <mergeCell ref="A19:F19"/>
    <mergeCell ref="A1:F1"/>
    <mergeCell ref="A23:F23"/>
    <mergeCell ref="A22:F22"/>
    <mergeCell ref="A18:F18"/>
    <mergeCell ref="A20:F20"/>
    <mergeCell ref="A21:F21"/>
    <mergeCell ref="A25:F2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2026-10-15T10:28:26Z</dcterms:created>
  <dcterms:modified xmlns:dcterms="http://purl.org/dc/terms/" xmlns:xsi="http://www.w3.org/2001/XMLSchema-instance" xsi:type="dcterms:W3CDTF">2026-10-15T11:26:25Z</dcterms:modified>
</cp:coreProperties>
</file>